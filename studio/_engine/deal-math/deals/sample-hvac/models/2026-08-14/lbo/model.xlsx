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Earnings" sheetId="2" state="visible" r:id="rId4"/>
    <sheet name="LBO" sheetId="3" state="visible" r:id="rId5"/>
    <sheet name="Sensitivit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<sst xmlns="http://schemas.openxmlformats.org/spreadsheetml/2006/main" count="71" uniqueCount="67">
  <si>
    <t xml:space="preserve">smbX deal math workbench</t>
  </si>
  <si>
    <t xml:space="preserve">Model</t>
  </si>
  <si>
    <t xml:space="preserve">lbo</t>
  </si>
  <si>
    <t xml:space="preserve">Run date</t>
  </si>
  <si>
    <t xml:space="preserve">2026-08-14</t>
  </si>
  <si>
    <t xml:space="preserve">Engine</t>
  </si>
  <si>
    <t xml:space="preserve">v17-reference (engine not yet vendored — see ENGINE_PROVENANCE.md)</t>
  </si>
  <si>
    <t xml:space="preserve">Formulas</t>
  </si>
  <si>
    <t xml:space="preserve">METHODOLOGY_V17 §5.0 — formulas are never invented</t>
  </si>
  <si>
    <t xml:space="preserve">Blue cells are inputs; edit them and the workbook recalculates.</t>
  </si>
  <si>
    <t xml:space="preserve">Earnings Normalization — SAMPLE — Fictional HVAC Co (workbench smoke test, not a real company)</t>
  </si>
  <si>
    <t xml:space="preserve">Line item</t>
  </si>
  <si>
    <t xml:space="preserve">2023</t>
  </si>
  <si>
    <t xml:space="preserve">2024</t>
  </si>
  <si>
    <t xml:space="preserve">Revenue</t>
  </si>
  <si>
    <t xml:space="preserve">Net income</t>
  </si>
  <si>
    <t xml:space="preserve">Owner salary</t>
  </si>
  <si>
    <t xml:space="preserve">Depreciation</t>
  </si>
  <si>
    <t xml:space="preserve">Amortization</t>
  </si>
  <si>
    <t xml:space="preserve">Interest</t>
  </si>
  <si>
    <t xml:space="preserve">Taxes</t>
  </si>
  <si>
    <t xml:space="preserve">One-time expenses</t>
  </si>
  <si>
    <t xml:space="preserve">Non-recurring income</t>
  </si>
  <si>
    <t xml:space="preserve">Verified add-backs (schedule below)</t>
  </si>
  <si>
    <t xml:space="preserve">SDE (V17 §5.1)</t>
  </si>
  <si>
    <t xml:space="preserve">Adjusted EBITDA (V17 §5.2)</t>
  </si>
  <si>
    <t xml:space="preserve">Add-back schedule (verified only enter the math)</t>
  </si>
  <si>
    <t xml:space="preserve">Item</t>
  </si>
  <si>
    <t xml:space="preserve">Year</t>
  </si>
  <si>
    <t xml:space="preserve">Amount</t>
  </si>
  <si>
    <t xml:space="preserve">Verified</t>
  </si>
  <si>
    <t xml:space="preserve">Evidence</t>
  </si>
  <si>
    <t xml:space="preserve">Personal vehicle + insurance</t>
  </si>
  <si>
    <t xml:space="preserve">YES</t>
  </si>
  <si>
    <t xml:space="preserve">sample</t>
  </si>
  <si>
    <t xml:space="preserve">One-off legal settlement</t>
  </si>
  <si>
    <t xml:space="preserve">NO — excluded</t>
  </si>
  <si>
    <t xml:space="preserve">unverified — excluded</t>
  </si>
  <si>
    <t xml:space="preserve">Legend: blue = input (edit these) · black = formula · yellow = key assumption</t>
  </si>
  <si>
    <t xml:space="preserve">LBO / Returns</t>
  </si>
  <si>
    <t xml:space="preserve">Revenue (latest actual)</t>
  </si>
  <si>
    <t xml:space="preserve">Revenue growth</t>
  </si>
  <si>
    <t xml:space="preserve">EBITDA margin</t>
  </si>
  <si>
    <t xml:space="preserve">Capex % revenue</t>
  </si>
  <si>
    <t xml:space="preserve">Hold (years)</t>
  </si>
  <si>
    <t xml:space="preserve">Entry multiple</t>
  </si>
  <si>
    <t xml:space="preserve">Exit multiple</t>
  </si>
  <si>
    <t xml:space="preserve">Equity invested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</si>
  <si>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</si>
  <si>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</si>
  <si>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</si>
  <si>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</si>
  <si>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</si>
  <si>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EBITDA</t>
  </si>
  <si>
    <t xml:space="preserve">Capex</t>
  </si>
  <si>
    <t xml:space="preserve">Debt service (engine sched.)</t>
  </si>
  <si>
    <t xml:space="preserve">FCF to equity</t>
  </si>
  <si>
    <t xml:space="preserve">DSCR</t>
  </si>
  <si>
    <t xml:space="preserve">Exit EV (EBITDA × exit mult)</t>
  </si>
  <si>
    <t xml:space="preserve">Remaining debt at exit (engine)</t>
  </si>
  <si>
    <t xml:space="preserve">Exit equity proceeds</t>
  </si>
  <si>
    <t xml:space="preserve">Equity flows</t>
  </si>
  <si>
    <t xml:space="preserve">IRR</t>
  </si>
  <si>
    <t xml:space="preserve">MOIC</t>
  </si>
  <si>
    <t xml:space="preserve">IRR — revenue growth × exit multiple (engine grid)</t>
  </si>
  <si>
    <t xml:space="preserve">growth \ exit</t>
  </si>
  <si>
    <t xml:space="preserve">Source: engine sensitivity grid (result.json). Values, not formulas — regenerate by re-running the model.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</si>
</sst>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0.0%"/>
    <numFmt numFmtId="167" formatCode="0.00\x"/>
    <numFmt numFmtId="168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sz val="11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8" min="2" style="0" width="16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2" t="s">
        <v>4</v>
      </c>
    </row>
    <row r="5" customFormat="false" ht="15" hidden="false" customHeight="false" outlineLevel="0" collapsed="false">
      <c r="A5" s="2" t="s">
        <v>5</v>
      </c>
      <c r="B5" s="2" t="s">
        <v>6</v>
      </c>
    </row>
    <row r="6" customFormat="false" ht="15" hidden="false" customHeight="false" outlineLevel="0" collapsed="false">
      <c r="A6" s="2" t="s">
        <v>7</v>
      </c>
      <c r="B6" s="2" t="s">
        <v>8</v>
      </c>
    </row>
    <row r="8" customFormat="false" ht="15" hidden="false" customHeight="false" outlineLevel="0" collapsed="false">
      <c r="A8" s="4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8" min="2" style="0" width="16"/>
  </cols>
  <sheetData>
    <row r="1" customFormat="false" ht="17.35" hidden="false" customHeight="false" outlineLevel="0" collapsed="false">
      <c r="A1" s="1" t="s">
        <v>10</v>
      </c>
    </row>
    <row r="3" customFormat="false" ht="15" hidden="false" customHeight="false" outlineLevel="0" collapsed="false">
      <c r="A3" s="3" t="s">
        <v>11</v>
      </c>
      <c r="B3" s="3" t="s">
        <v>12</v>
      </c>
      <c r="C3" s="3" t="s">
        <v>13</v>
      </c>
    </row>
    <row r="4" customFormat="false" ht="15" hidden="false" customHeight="false" outlineLevel="0" collapsed="false">
      <c r="A4" s="2" t="s">
        <v>14</v>
      </c>
      <c r="B4" s="5" t="n">
        <v>2600000</v>
      </c>
      <c r="C4" s="5" t="n">
        <v>3100000</v>
      </c>
    </row>
    <row r="5" customFormat="false" ht="15" hidden="false" customHeight="false" outlineLevel="0" collapsed="false">
      <c r="A5" s="2" t="s">
        <v>15</v>
      </c>
      <c r="B5" s="5" t="n">
        <v>210000</v>
      </c>
      <c r="C5" s="5" t="n">
        <v>260000</v>
      </c>
    </row>
    <row r="6" customFormat="false" ht="15" hidden="false" customHeight="false" outlineLevel="0" collapsed="false">
      <c r="A6" s="2" t="s">
        <v>16</v>
      </c>
      <c r="B6" s="5" t="n">
        <v>110000</v>
      </c>
      <c r="C6" s="5" t="n">
        <v>120000</v>
      </c>
    </row>
    <row r="7" customFormat="false" ht="15" hidden="false" customHeight="false" outlineLevel="0" collapsed="false">
      <c r="A7" s="2" t="s">
        <v>17</v>
      </c>
      <c r="B7" s="5" t="n">
        <v>55000</v>
      </c>
      <c r="C7" s="5" t="n">
        <v>60000</v>
      </c>
    </row>
    <row r="8" customFormat="false" ht="15" hidden="false" customHeight="false" outlineLevel="0" collapsed="false">
      <c r="A8" s="2" t="s">
        <v>18</v>
      </c>
      <c r="B8" s="5" t="n">
        <v>5000</v>
      </c>
      <c r="C8" s="5" t="n">
        <v>5000</v>
      </c>
    </row>
    <row r="9" customFormat="false" ht="15" hidden="false" customHeight="false" outlineLevel="0" collapsed="false">
      <c r="A9" s="2" t="s">
        <v>19</v>
      </c>
      <c r="B9" s="5" t="n">
        <v>18000</v>
      </c>
      <c r="C9" s="5" t="n">
        <v>15000</v>
      </c>
    </row>
    <row r="10" customFormat="false" ht="15" hidden="false" customHeight="false" outlineLevel="0" collapsed="false">
      <c r="A10" s="2" t="s">
        <v>20</v>
      </c>
      <c r="B10" s="5" t="n">
        <v>42000</v>
      </c>
      <c r="C10" s="5" t="n">
        <v>52000</v>
      </c>
    </row>
    <row r="11" customFormat="false" ht="15" hidden="false" customHeight="false" outlineLevel="0" collapsed="false">
      <c r="A11" s="2" t="s">
        <v>21</v>
      </c>
      <c r="B11" s="5" t="n">
        <v>0</v>
      </c>
      <c r="C11" s="5" t="n">
        <v>25000</v>
      </c>
    </row>
    <row r="12" customFormat="false" ht="15" hidden="false" customHeight="false" outlineLevel="0" collapsed="false">
      <c r="A12" s="2" t="s">
        <v>22</v>
      </c>
      <c r="B12" s="5" t="n">
        <v>0</v>
      </c>
      <c r="C12" s="5" t="n">
        <v>10000</v>
      </c>
    </row>
    <row r="13" customFormat="false" ht="15" hidden="false" customHeight="false" outlineLevel="0" collapsed="false">
      <c r="A13" s="2" t="s">
        <v>23</v>
      </c>
      <c r="B13" s="5" t="n">
        <v>0</v>
      </c>
      <c r="C13" s="5" t="n">
        <v>18000</v>
      </c>
    </row>
    <row r="15" customFormat="false" ht="15" hidden="false" customHeight="false" outlineLevel="0" collapsed="false">
      <c r="A15" s="3" t="s">
        <v>24</v>
      </c>
      <c r="B15" s="6" t="n">
        <f aca="false">B5+B6+B7+B8+B9+B11+B13</f>
        <v>398000</v>
      </c>
      <c r="C15" s="6" t="n">
        <f aca="false">C5+C6+C7+C8+C9+C11+C13</f>
        <v>503000</v>
      </c>
    </row>
    <row r="16" customFormat="false" ht="15" hidden="false" customHeight="false" outlineLevel="0" collapsed="false">
      <c r="A16" s="3" t="s">
        <v>25</v>
      </c>
      <c r="B16" s="6" t="n">
        <f aca="false">B5+B7+B8+B9+B10+B13-B12</f>
        <v>330000</v>
      </c>
      <c r="C16" s="6" t="n">
        <f aca="false">C5+C7+C8+C9+C10+C13-C12</f>
        <v>400000</v>
      </c>
    </row>
    <row r="18" customFormat="false" ht="15" hidden="false" customHeight="false" outlineLevel="0" collapsed="false">
      <c r="A18" s="3" t="s">
        <v>26</v>
      </c>
    </row>
    <row r="19" customFormat="false" ht="15" hidden="false" customHeight="false" outlineLevel="0" collapsed="false">
      <c r="A19" s="3" t="s">
        <v>27</v>
      </c>
      <c r="B19" s="3" t="s">
        <v>28</v>
      </c>
      <c r="C19" s="3" t="s">
        <v>29</v>
      </c>
      <c r="D19" s="3" t="s">
        <v>30</v>
      </c>
      <c r="E19" s="3" t="s">
        <v>31</v>
      </c>
    </row>
    <row r="20" customFormat="false" ht="15" hidden="false" customHeight="false" outlineLevel="0" collapsed="false">
      <c r="A20" s="2" t="s">
        <v>32</v>
      </c>
      <c r="B20" s="2" t="s">
        <v>13</v>
      </c>
      <c r="C20" s="5" t="n">
        <v>18000</v>
      </c>
      <c r="D20" s="2" t="s">
        <v>33</v>
      </c>
      <c r="E20" s="2" t="s">
        <v>34</v>
      </c>
    </row>
    <row r="21" customFormat="false" ht="15" hidden="false" customHeight="false" outlineLevel="0" collapsed="false">
      <c r="A21" s="2" t="s">
        <v>35</v>
      </c>
      <c r="B21" s="2" t="s">
        <v>13</v>
      </c>
      <c r="C21" s="5" t="n">
        <v>30000</v>
      </c>
      <c r="D21" s="2" t="s">
        <v>36</v>
      </c>
      <c r="E21" s="2" t="s">
        <v>37</v>
      </c>
    </row>
    <row r="23" customFormat="false" ht="15" hidden="false" customHeight="false" outlineLevel="0" collapsed="false">
      <c r="A23" s="4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8" min="2" style="0" width="16"/>
  </cols>
  <sheetData>
    <row r="1" customFormat="false" ht="17.35" hidden="false" customHeight="false" outlineLevel="0" collapsed="false">
      <c r="A1" s="1" t="s">
        <v>39</v>
      </c>
    </row>
    <row r="3" customFormat="false" ht="15" hidden="false" customHeight="false" outlineLevel="0" collapsed="false">
      <c r="A3" s="2" t="s">
        <v>40</v>
      </c>
      <c r="B3" s="5" t="n">
        <v>3100000</v>
      </c>
    </row>
    <row r="4" customFormat="false" ht="15" hidden="false" customHeight="false" outlineLevel="0" collapsed="false">
      <c r="A4" s="2" t="s">
        <v>41</v>
      </c>
      <c r="B4" s="7" t="n">
        <v>0.05</v>
      </c>
    </row>
    <row r="5" customFormat="false" ht="15" hidden="false" customHeight="false" outlineLevel="0" collapsed="false">
      <c r="A5" s="2" t="s">
        <v>42</v>
      </c>
      <c r="B5" s="7" t="n">
        <v>0.129032258064516</v>
      </c>
    </row>
    <row r="6" customFormat="false" ht="15" hidden="false" customHeight="false" outlineLevel="0" collapsed="false">
      <c r="A6" s="2" t="s">
        <v>43</v>
      </c>
      <c r="B6" s="8" t="n">
        <v>0.01</v>
      </c>
    </row>
    <row r="7" customFormat="false" ht="15" hidden="false" customHeight="false" outlineLevel="0" collapsed="false">
      <c r="A7" s="2" t="s">
        <v>44</v>
      </c>
      <c r="B7" s="9" t="n">
        <v>5</v>
      </c>
    </row>
    <row r="8" customFormat="false" ht="15" hidden="false" customHeight="false" outlineLevel="0" collapsed="false">
      <c r="A8" s="2" t="s">
        <v>45</v>
      </c>
      <c r="B8" s="10" t="n">
        <v>3.75</v>
      </c>
    </row>
    <row r="9" customFormat="false" ht="15" hidden="false" customHeight="false" outlineLevel="0" collapsed="false">
      <c r="A9" s="2" t="s">
        <v>46</v>
      </c>
      <c r="B9" s="11" t="n">
        <v>4</v>
      </c>
    </row>
    <row r="10" customFormat="false" ht="15" hidden="false" customHeight="false" outlineLevel="0" collapsed="false">
      <c r="A10" s="2" t="s">
        <v>47</v>
      </c>
      <c r="B10" s="12" t="n">
        <v>375000</v>
      </c>
    </row>
    <row r="12" customFormat="false" ht="15" hidden="false" customHeight="false" outlineLevel="0" collapsed="false">
      <c r="A12" s="3"/>
      <c r="B12" s="3" t="s">
        <v>48</v>
      </c>
      <c r="C12" s="3" t="s">
        <v>49</v>
      </c>
      <c r="D12" s="3" t="s">
        <v>50</v>
      </c>
      <c r="E12" s="3" t="s">
        <v>51</v>
      </c>
      <c r="F12" s="3" t="s">
        <v>52</v>
      </c>
    </row>
    <row r="13" customFormat="false" ht="15" hidden="false" customHeight="false" outlineLevel="0" collapsed="false">
      <c r="A13" s="2" t="s">
        <v>14</v>
      </c>
      <c r="B13" s="12" t="n">
        <f aca="false">B3*(1+$B$4)</f>
        <v>3255000</v>
      </c>
      <c r="C13" s="12" t="n">
        <f aca="false">B13*(1+$B$4)</f>
        <v>3417750</v>
      </c>
      <c r="D13" s="12" t="n">
        <f aca="false">C13*(1+$B$4)</f>
        <v>3588637.5</v>
      </c>
      <c r="E13" s="12" t="n">
        <f aca="false">D13*(1+$B$4)</f>
        <v>3768069.375</v>
      </c>
      <c r="F13" s="12" t="n">
        <f aca="false">E13*(1+$B$4)</f>
        <v>3956472.84375</v>
      </c>
    </row>
    <row r="14" customFormat="false" ht="15" hidden="false" customHeight="false" outlineLevel="0" collapsed="false">
      <c r="A14" s="2" t="s">
        <v>53</v>
      </c>
      <c r="B14" s="12" t="n">
        <f aca="false">B13*$B$5</f>
        <v>420000</v>
      </c>
      <c r="C14" s="12" t="n">
        <f aca="false">C13*$B$5</f>
        <v>441000</v>
      </c>
      <c r="D14" s="12" t="n">
        <f aca="false">D13*$B$5</f>
        <v>463050</v>
      </c>
      <c r="E14" s="12" t="n">
        <f aca="false">E13*$B$5</f>
        <v>486202.5</v>
      </c>
      <c r="F14" s="12" t="n">
        <f aca="false">F13*$B$5</f>
        <v>510512.625</v>
      </c>
    </row>
    <row r="15" customFormat="false" ht="15" hidden="false" customHeight="false" outlineLevel="0" collapsed="false">
      <c r="A15" s="2" t="s">
        <v>54</v>
      </c>
      <c r="B15" s="12" t="n">
        <f aca="false">B13*$B$6</f>
        <v>32550</v>
      </c>
      <c r="C15" s="12" t="n">
        <f aca="false">C13*$B$6</f>
        <v>34177.5</v>
      </c>
      <c r="D15" s="12" t="n">
        <f aca="false">D13*$B$6</f>
        <v>35886.375</v>
      </c>
      <c r="E15" s="12" t="n">
        <f aca="false">E13*$B$6</f>
        <v>37680.69375</v>
      </c>
      <c r="F15" s="12" t="n">
        <f aca="false">F13*$B$6</f>
        <v>39564.7284375</v>
      </c>
    </row>
    <row r="16" customFormat="false" ht="15" hidden="false" customHeight="false" outlineLevel="0" collapsed="false">
      <c r="A16" s="2" t="s">
        <v>55</v>
      </c>
      <c r="B16" s="12" t="n">
        <v>204817.14</v>
      </c>
      <c r="C16" s="12" t="n">
        <v>204817.14</v>
      </c>
      <c r="D16" s="12" t="n">
        <v>204817.14</v>
      </c>
      <c r="E16" s="12" t="n">
        <v>204817.14</v>
      </c>
      <c r="F16" s="12" t="n">
        <v>204817.14</v>
      </c>
    </row>
    <row r="17" customFormat="false" ht="15" hidden="false" customHeight="false" outlineLevel="0" collapsed="false">
      <c r="A17" s="2" t="s">
        <v>56</v>
      </c>
      <c r="B17" s="12" t="n">
        <f aca="false">B14-B15-B16</f>
        <v>182632.86</v>
      </c>
      <c r="C17" s="12" t="n">
        <f aca="false">C14-C15-C16</f>
        <v>202005.36</v>
      </c>
      <c r="D17" s="12" t="n">
        <f aca="false">D14-D15-D16</f>
        <v>222346.485</v>
      </c>
      <c r="E17" s="12" t="n">
        <f aca="false">E14-E15-E16</f>
        <v>243704.66625</v>
      </c>
      <c r="F17" s="12" t="n">
        <f aca="false">F14-F15-F16</f>
        <v>266130.7565625</v>
      </c>
    </row>
    <row r="18" customFormat="false" ht="15" hidden="false" customHeight="false" outlineLevel="0" collapsed="false">
      <c r="A18" s="2" t="s">
        <v>57</v>
      </c>
      <c r="B18" s="13" t="n">
        <f aca="false">IF(B16=0,0,B14/B16)</f>
        <v>2.05060963159626</v>
      </c>
      <c r="C18" s="13" t="n">
        <f aca="false">IF(C16=0,0,C14/C16)</f>
        <v>2.15314011317607</v>
      </c>
      <c r="D18" s="13" t="n">
        <f aca="false">IF(D16=0,0,D14/D16)</f>
        <v>2.26079711883488</v>
      </c>
      <c r="E18" s="13" t="n">
        <f aca="false">IF(E16=0,0,E14/E16)</f>
        <v>2.37383697477662</v>
      </c>
      <c r="F18" s="13" t="n">
        <f aca="false">IF(F16=0,0,F14/F16)</f>
        <v>2.49252882351545</v>
      </c>
    </row>
    <row r="20" customFormat="false" ht="15" hidden="false" customHeight="false" outlineLevel="0" collapsed="false">
      <c r="A20" s="2" t="s">
        <v>58</v>
      </c>
      <c r="B20" s="12" t="n">
        <f aca="false">F14*$B$9</f>
        <v>2042050.5</v>
      </c>
    </row>
    <row r="21" customFormat="false" ht="15" hidden="false" customHeight="false" outlineLevel="0" collapsed="false">
      <c r="A21" s="2" t="s">
        <v>59</v>
      </c>
      <c r="B21" s="12" t="n">
        <v>659171.88</v>
      </c>
    </row>
    <row r="22" customFormat="false" ht="15" hidden="false" customHeight="false" outlineLevel="0" collapsed="false">
      <c r="A22" s="2" t="s">
        <v>60</v>
      </c>
      <c r="B22" s="12" t="n">
        <f aca="false">B20-B21</f>
        <v>1382878.62</v>
      </c>
    </row>
    <row r="24" customFormat="false" ht="15" hidden="false" customHeight="false" outlineLevel="0" collapsed="false">
      <c r="A24" s="3" t="s">
        <v>61</v>
      </c>
      <c r="B24" s="12" t="n">
        <f aca="false">-B10</f>
        <v>-375000</v>
      </c>
      <c r="C24" s="12" t="n">
        <f aca="false">B17</f>
        <v>182632.86</v>
      </c>
      <c r="D24" s="12" t="n">
        <f aca="false">C17</f>
        <v>202005.36</v>
      </c>
      <c r="E24" s="12" t="n">
        <f aca="false">D17</f>
        <v>222346.485</v>
      </c>
      <c r="F24" s="12" t="n">
        <f aca="false">E17</f>
        <v>243704.66625</v>
      </c>
      <c r="G24" s="12" t="n">
        <f aca="false">F17+B22</f>
        <v>1649009.3765625</v>
      </c>
    </row>
    <row r="26" customFormat="false" ht="15" hidden="false" customHeight="false" outlineLevel="0" collapsed="false">
      <c r="A26" s="3" t="s">
        <v>62</v>
      </c>
      <c r="B26" s="14" t="n">
        <f aca="false">IRR(B24:G24)</f>
        <v>0.689009236516821</v>
      </c>
    </row>
    <row r="27" customFormat="false" ht="15" hidden="false" customHeight="false" outlineLevel="0" collapsed="false">
      <c r="A27" s="3" t="s">
        <v>63</v>
      </c>
      <c r="B27" s="15" t="n">
        <f aca="false">SUM(C24:G24)/B10</f>
        <v>6.6658633275</v>
      </c>
    </row>
    <row r="29" customFormat="false" ht="15" hidden="false" customHeight="false" outlineLevel="0" collapsed="false">
      <c r="A29" s="4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8" min="2" style="0" width="16"/>
  </cols>
  <sheetData>
    <row r="1" customFormat="false" ht="17.35" hidden="false" customHeight="false" outlineLevel="0" collapsed="false">
      <c r="A1" s="1" t="s">
        <v>64</v>
      </c>
    </row>
    <row r="3" customFormat="false" ht="15" hidden="false" customHeight="false" outlineLevel="0" collapsed="false">
      <c r="A3" s="3" t="s">
        <v>65</v>
      </c>
      <c r="B3" s="15" t="n">
        <v>3</v>
      </c>
      <c r="C3" s="15" t="n">
        <v>3.5</v>
      </c>
      <c r="D3" s="15" t="n">
        <v>4</v>
      </c>
      <c r="E3" s="15" t="n">
        <v>4.5</v>
      </c>
      <c r="F3" s="15" t="n">
        <v>5</v>
      </c>
    </row>
    <row r="4" customFormat="false" ht="15" hidden="false" customHeight="false" outlineLevel="0" collapsed="false">
      <c r="A4" s="14" t="n">
        <v>0.01</v>
      </c>
      <c r="B4" s="16" t="n">
        <v>0.5055</v>
      </c>
      <c r="C4" s="16" t="n">
        <v>0.5416</v>
      </c>
      <c r="D4" s="16" t="n">
        <v>0.5738</v>
      </c>
      <c r="E4" s="16" t="n">
        <v>0.6029</v>
      </c>
      <c r="F4" s="16" t="n">
        <v>0.6296</v>
      </c>
    </row>
    <row r="5" customFormat="false" ht="15" hidden="false" customHeight="false" outlineLevel="0" collapsed="false">
      <c r="A5" s="14" t="n">
        <v>0.03</v>
      </c>
      <c r="B5" s="16" t="n">
        <v>0.5676</v>
      </c>
      <c r="C5" s="16" t="n">
        <v>0.6017</v>
      </c>
      <c r="D5" s="16" t="n">
        <v>0.6325</v>
      </c>
      <c r="E5" s="16" t="n">
        <v>0.6605</v>
      </c>
      <c r="F5" s="16" t="n">
        <v>0.6863</v>
      </c>
    </row>
    <row r="6" customFormat="false" ht="15" hidden="false" customHeight="false" outlineLevel="0" collapsed="false">
      <c r="A6" s="14" t="n">
        <v>0.05</v>
      </c>
      <c r="B6" s="16" t="n">
        <v>0.6267</v>
      </c>
      <c r="C6" s="16" t="n">
        <v>0.6594</v>
      </c>
      <c r="D6" s="16" t="n">
        <v>0.689</v>
      </c>
      <c r="E6" s="16" t="n">
        <v>0.7162</v>
      </c>
      <c r="F6" s="16" t="n">
        <v>0.7413</v>
      </c>
    </row>
    <row r="7" customFormat="false" ht="15" hidden="false" customHeight="false" outlineLevel="0" collapsed="false">
      <c r="A7" s="14" t="n">
        <v>0.07</v>
      </c>
      <c r="B7" s="16" t="n">
        <v>0.6836</v>
      </c>
      <c r="C7" s="16" t="n">
        <v>0.7151</v>
      </c>
      <c r="D7" s="16" t="n">
        <v>0.7438</v>
      </c>
      <c r="E7" s="16" t="n">
        <v>0.7703</v>
      </c>
      <c r="F7" s="16" t="n">
        <v>0.7949</v>
      </c>
    </row>
    <row r="8" customFormat="false" ht="15" hidden="false" customHeight="false" outlineLevel="0" collapsed="false">
      <c r="A8" s="14" t="n">
        <v>0.09</v>
      </c>
      <c r="B8" s="16" t="n">
        <v>0.7385</v>
      </c>
      <c r="C8" s="16" t="n">
        <v>0.7691</v>
      </c>
      <c r="D8" s="16" t="n">
        <v>0.7972</v>
      </c>
      <c r="E8" s="16" t="n">
        <v>0.8232</v>
      </c>
      <c r="F8" s="16" t="n">
        <v>0.8474</v>
      </c>
    </row>
    <row r="11" customFormat="false" ht="15" hidden="false" customHeight="false" outlineLevel="0" collapsed="false">
      <c r="A11" s="4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2026-08-14T21:18:58Z</dcterms:created>
  <dc:creator>openpyxl</dc:creator>
  <dc:description/>
  <dc:language>en-US</dc:language>
  <cp:lastModifiedBy/>
  <dcterms:modified xsi:type="dcterms:W3CDTF">2026-08-14T21:18:58Z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