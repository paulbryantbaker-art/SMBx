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arn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<sst xmlns="http://schemas.openxmlformats.org/spreadsheetml/2006/main" count="24" uniqueCount="23">
  <si>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smbX deal math workbench</t>
  </si>
  <si>
    <t xml:space="preserve">Model</t>
  </si>
  <si>
    <t xml:space="preserve">earnout</t>
  </si>
  <si>
    <t xml:space="preserve">Run date</t>
  </si>
  <si>
    <t xml:space="preserve">2026-08-14</t>
  </si>
  <si>
    <t xml:space="preserve">Engine</t>
  </si>
  <si>
    <t xml:space="preserve">v17-reference (engine not yet vendored — see ENGINE_PROVENANCE.md)</t>
  </si>
  <si>
    <t xml:space="preserve">Formulas</t>
  </si>
  <si>
    <t xml:space="preserve">METHODOLOGY_V17 §5.0 — formulas are never invented</t>
  </si>
  <si>
    <t xml:space="preserve">Blue cells are inputs; edit them and the workbook recalculates.</t>
  </si>
  <si>
    <t xml:space="preserve">Earnout — probability-weighted</t>
  </si>
  <si>
    <t xml:space="preserve">Base price</t>
  </si>
  <si>
    <t xml:space="preserve">Tranche</t>
  </si>
  <si>
    <t xml:space="preserve">Amount</t>
  </si>
  <si>
    <t xml:space="preserve">Probability</t>
  </si>
  <si>
    <t xml:space="preserve">Expected</t>
  </si>
  <si>
    <t xml:space="preserve">Trigger</t>
  </si>
  <si>
    <t xml:space="preserve">Year-1 revenue ≥ $3.2M</t>
  </si>
  <si>
    <t xml:space="preserve">revenue</t>
  </si>
  <si>
    <t xml:space="preserve">Year-2 revenue ≥ $3.5M</t>
  </si>
  <si>
    <t xml:space="preserve">Expected total price</t>
  </si>
  <si>
    <t xml:space="preserve">Max total price</t>
  </si>
  <si>
    <t xml:space="preserve">Legend: blue = input (edit these) · black = formula · yellow = key assumption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</si>
</sst>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8" customFormat="false" ht="15" hidden="false" customHeight="false" outlineLevel="0" collapsed="false">
      <c r="A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2" t="s">
        <v>11</v>
      </c>
      <c r="B3" s="5" t="n">
        <v>1350000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customFormat="false" ht="15" hidden="false" customHeight="false" outlineLevel="0" collapsed="false">
      <c r="A6" s="2" t="s">
        <v>17</v>
      </c>
      <c r="B6" s="5" t="n">
        <v>100000</v>
      </c>
      <c r="C6" s="6" t="n">
        <v>0.6</v>
      </c>
      <c r="D6" s="7" t="n">
        <f aca="false">B6*C6</f>
        <v>60000</v>
      </c>
      <c r="E6" s="2" t="s">
        <v>18</v>
      </c>
    </row>
    <row r="7" customFormat="false" ht="15" hidden="false" customHeight="false" outlineLevel="0" collapsed="false">
      <c r="A7" s="2" t="s">
        <v>19</v>
      </c>
      <c r="B7" s="5" t="n">
        <v>100000</v>
      </c>
      <c r="C7" s="6" t="n">
        <v>0.4</v>
      </c>
      <c r="D7" s="7" t="n">
        <f aca="false">B7*C7</f>
        <v>40000</v>
      </c>
      <c r="E7" s="2" t="s">
        <v>18</v>
      </c>
    </row>
    <row r="9" customFormat="false" ht="15" hidden="false" customHeight="false" outlineLevel="0" collapsed="false">
      <c r="A9" s="3" t="s">
        <v>20</v>
      </c>
      <c r="B9" s="8" t="n">
        <f aca="false">B3+SUM(D6:D7)</f>
        <v>1450000</v>
      </c>
    </row>
    <row r="10" customFormat="false" ht="15" hidden="false" customHeight="false" outlineLevel="0" collapsed="false">
      <c r="A10" s="3" t="s">
        <v>21</v>
      </c>
      <c r="B10" s="8" t="n">
        <f aca="false">B3+SUM(B6:B7)</f>
        <v>1550000</v>
      </c>
    </row>
    <row r="12" customFormat="false" ht="15" hidden="false" customHeight="false" outlineLevel="0" collapsed="false">
      <c r="A12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2026-08-14T21:18:58Z</dcterms:created>
  <dc:creator>openpyxl</dc:creator>
  <dc:description/>
  <dc:language>en-US</dc:language>
  <cp:lastModifiedBy/>
  <dcterms:modified xsi:type="dcterms:W3CDTF">2026-08-14T21:18:58Z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