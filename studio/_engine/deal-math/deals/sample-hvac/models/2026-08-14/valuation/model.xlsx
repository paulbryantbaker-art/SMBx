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arnings" sheetId="2" state="visible" r:id="rId4"/>
    <sheet name="Valu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<sst xmlns="http://schemas.openxmlformats.org/spreadsheetml/2006/main" count="51" uniqueCount="48">
  <si>
    <t xml:space="preserve">smbX deal math workbench</t>
  </si>
  <si>
    <t xml:space="preserve">Model</t>
  </si>
  <si>
    <t xml:space="preserve">valuation</t>
  </si>
  <si>
    <t xml:space="preserve">Run date</t>
  </si>
  <si>
    <t xml:space="preserve">2026-08-14</t>
  </si>
  <si>
    <t xml:space="preserve">Engine</t>
  </si>
  <si>
    <t xml:space="preserve">v17-reference (engine not yet vendored — see ENGINE_PROVENANCE.md)</t>
  </si>
  <si>
    <t xml:space="preserve">Formulas</t>
  </si>
  <si>
    <t xml:space="preserve">METHODOLOGY_V17 §5.0 — formulas are never invented</t>
  </si>
  <si>
    <t xml:space="preserve">Blue cells are inputs; edit them and the workbook recalculates.</t>
  </si>
  <si>
    <t xml:space="preserve">Earnings Normalization — SAMPLE — Fictional HVAC Co (workbench smoke test, not a real company)</t>
  </si>
  <si>
    <t xml:space="preserve">Line item</t>
  </si>
  <si>
    <t xml:space="preserve">2023</t>
  </si>
  <si>
    <t xml:space="preserve">2024</t>
  </si>
  <si>
    <t xml:space="preserve">Revenue</t>
  </si>
  <si>
    <t xml:space="preserve">Net income</t>
  </si>
  <si>
    <t xml:space="preserve">Owner salary</t>
  </si>
  <si>
    <t xml:space="preserve">Depreciation</t>
  </si>
  <si>
    <t xml:space="preserve">Amortization</t>
  </si>
  <si>
    <t xml:space="preserve">Interest</t>
  </si>
  <si>
    <t xml:space="preserve">Taxes</t>
  </si>
  <si>
    <t xml:space="preserve">One-time expenses</t>
  </si>
  <si>
    <t xml:space="preserve">Non-recurring income</t>
  </si>
  <si>
    <t xml:space="preserve">Verified add-backs (schedule below)</t>
  </si>
  <si>
    <t xml:space="preserve">SDE (V17 §5.1)</t>
  </si>
  <si>
    <t xml:space="preserve">Adjusted EBITDA (V17 §5.2)</t>
  </si>
  <si>
    <t xml:space="preserve">Add-back schedule (verified only enter the math)</t>
  </si>
  <si>
    <t xml:space="preserve">Item</t>
  </si>
  <si>
    <t xml:space="preserve">Year</t>
  </si>
  <si>
    <t xml:space="preserve">Amount</t>
  </si>
  <si>
    <t xml:space="preserve">Verified</t>
  </si>
  <si>
    <t xml:space="preserve">Evidence</t>
  </si>
  <si>
    <t xml:space="preserve">Personal vehicle + insurance</t>
  </si>
  <si>
    <t xml:space="preserve">YES</t>
  </si>
  <si>
    <t xml:space="preserve">sample</t>
  </si>
  <si>
    <t xml:space="preserve">One-off legal settlement</t>
  </si>
  <si>
    <t xml:space="preserve">NO — excluded</t>
  </si>
  <si>
    <t xml:space="preserve">unverified — excluded</t>
  </si>
  <si>
    <t xml:space="preserve">Legend: blue = input (edit these) · black = formula · yellow = key assumption</t>
  </si>
  <si>
    <t xml:space="preserve">Valuation Range</t>
  </si>
  <si>
    <t xml:space="preserve">Earnings basis (SDE, latest year)</t>
  </si>
  <si>
    <t xml:space="preserve">Multiple — low</t>
  </si>
  <si>
    <t xml:space="preserve">Multiple — high</t>
  </si>
  <si>
    <t xml:space="preserve">Multiple source</t>
  </si>
  <si>
    <t xml:space="preserve">sample range for smoke test</t>
  </si>
  <si>
    <t xml:space="preserve">Value — low</t>
  </si>
  <si>
    <t xml:space="preserve">Value — mid</t>
  </si>
  <si>
    <t xml:space="preserve">Value — high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</si>
</sst>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2" t="s">
        <v>4</v>
      </c>
    </row>
    <row r="5" customFormat="false" ht="15" hidden="false" customHeight="false" outlineLevel="0" collapsed="false">
      <c r="A5" s="2" t="s">
        <v>5</v>
      </c>
      <c r="B5" s="2" t="s">
        <v>6</v>
      </c>
    </row>
    <row r="6" customFormat="false" ht="15" hidden="false" customHeight="false" outlineLevel="0" collapsed="false">
      <c r="A6" s="2" t="s">
        <v>7</v>
      </c>
      <c r="B6" s="2" t="s">
        <v>8</v>
      </c>
    </row>
    <row r="8" customFormat="false" ht="15" hidden="false" customHeight="false" outlineLevel="0" collapsed="false">
      <c r="A8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10</v>
      </c>
    </row>
    <row r="3" customFormat="false" ht="15" hidden="false" customHeight="false" outlineLevel="0" collapsed="false">
      <c r="A3" s="3" t="s">
        <v>11</v>
      </c>
      <c r="B3" s="3" t="s">
        <v>12</v>
      </c>
      <c r="C3" s="3" t="s">
        <v>13</v>
      </c>
    </row>
    <row r="4" customFormat="false" ht="15" hidden="false" customHeight="false" outlineLevel="0" collapsed="false">
      <c r="A4" s="2" t="s">
        <v>14</v>
      </c>
      <c r="B4" s="5" t="n">
        <v>2600000</v>
      </c>
      <c r="C4" s="5" t="n">
        <v>3100000</v>
      </c>
    </row>
    <row r="5" customFormat="false" ht="15" hidden="false" customHeight="false" outlineLevel="0" collapsed="false">
      <c r="A5" s="2" t="s">
        <v>15</v>
      </c>
      <c r="B5" s="5" t="n">
        <v>210000</v>
      </c>
      <c r="C5" s="5" t="n">
        <v>260000</v>
      </c>
    </row>
    <row r="6" customFormat="false" ht="15" hidden="false" customHeight="false" outlineLevel="0" collapsed="false">
      <c r="A6" s="2" t="s">
        <v>16</v>
      </c>
      <c r="B6" s="5" t="n">
        <v>110000</v>
      </c>
      <c r="C6" s="5" t="n">
        <v>120000</v>
      </c>
    </row>
    <row r="7" customFormat="false" ht="15" hidden="false" customHeight="false" outlineLevel="0" collapsed="false">
      <c r="A7" s="2" t="s">
        <v>17</v>
      </c>
      <c r="B7" s="5" t="n">
        <v>55000</v>
      </c>
      <c r="C7" s="5" t="n">
        <v>60000</v>
      </c>
    </row>
    <row r="8" customFormat="false" ht="15" hidden="false" customHeight="false" outlineLevel="0" collapsed="false">
      <c r="A8" s="2" t="s">
        <v>18</v>
      </c>
      <c r="B8" s="5" t="n">
        <v>5000</v>
      </c>
      <c r="C8" s="5" t="n">
        <v>5000</v>
      </c>
    </row>
    <row r="9" customFormat="false" ht="15" hidden="false" customHeight="false" outlineLevel="0" collapsed="false">
      <c r="A9" s="2" t="s">
        <v>19</v>
      </c>
      <c r="B9" s="5" t="n">
        <v>18000</v>
      </c>
      <c r="C9" s="5" t="n">
        <v>15000</v>
      </c>
    </row>
    <row r="10" customFormat="false" ht="15" hidden="false" customHeight="false" outlineLevel="0" collapsed="false">
      <c r="A10" s="2" t="s">
        <v>20</v>
      </c>
      <c r="B10" s="5" t="n">
        <v>42000</v>
      </c>
      <c r="C10" s="5" t="n">
        <v>52000</v>
      </c>
    </row>
    <row r="11" customFormat="false" ht="15" hidden="false" customHeight="false" outlineLevel="0" collapsed="false">
      <c r="A11" s="2" t="s">
        <v>21</v>
      </c>
      <c r="B11" s="5" t="n">
        <v>0</v>
      </c>
      <c r="C11" s="5" t="n">
        <v>25000</v>
      </c>
    </row>
    <row r="12" customFormat="false" ht="15" hidden="false" customHeight="false" outlineLevel="0" collapsed="false">
      <c r="A12" s="2" t="s">
        <v>22</v>
      </c>
      <c r="B12" s="5" t="n">
        <v>0</v>
      </c>
      <c r="C12" s="5" t="n">
        <v>10000</v>
      </c>
    </row>
    <row r="13" customFormat="false" ht="15" hidden="false" customHeight="false" outlineLevel="0" collapsed="false">
      <c r="A13" s="2" t="s">
        <v>23</v>
      </c>
      <c r="B13" s="5" t="n">
        <v>0</v>
      </c>
      <c r="C13" s="5" t="n">
        <v>18000</v>
      </c>
    </row>
    <row r="15" customFormat="false" ht="15" hidden="false" customHeight="false" outlineLevel="0" collapsed="false">
      <c r="A15" s="3" t="s">
        <v>24</v>
      </c>
      <c r="B15" s="6" t="n">
        <f aca="false">B5+B6+B7+B8+B9+B11+B13</f>
        <v>398000</v>
      </c>
      <c r="C15" s="6" t="n">
        <f aca="false">C5+C6+C7+C8+C9+C11+C13</f>
        <v>503000</v>
      </c>
    </row>
    <row r="16" customFormat="false" ht="15" hidden="false" customHeight="false" outlineLevel="0" collapsed="false">
      <c r="A16" s="3" t="s">
        <v>25</v>
      </c>
      <c r="B16" s="6" t="n">
        <f aca="false">B5+B7+B8+B9+B10+B13-B12</f>
        <v>330000</v>
      </c>
      <c r="C16" s="6" t="n">
        <f aca="false">C5+C7+C8+C9+C10+C13-C12</f>
        <v>400000</v>
      </c>
    </row>
    <row r="18" customFormat="false" ht="15" hidden="false" customHeight="false" outlineLevel="0" collapsed="false">
      <c r="A18" s="3" t="s">
        <v>26</v>
      </c>
    </row>
    <row r="19" customFormat="false" ht="15" hidden="false" customHeight="false" outlineLevel="0" collapsed="false">
      <c r="A19" s="3" t="s">
        <v>27</v>
      </c>
      <c r="B19" s="3" t="s">
        <v>28</v>
      </c>
      <c r="C19" s="3" t="s">
        <v>29</v>
      </c>
      <c r="D19" s="3" t="s">
        <v>30</v>
      </c>
      <c r="E19" s="3" t="s">
        <v>31</v>
      </c>
    </row>
    <row r="20" customFormat="false" ht="15" hidden="false" customHeight="false" outlineLevel="0" collapsed="false">
      <c r="A20" s="2" t="s">
        <v>32</v>
      </c>
      <c r="B20" s="2" t="s">
        <v>13</v>
      </c>
      <c r="C20" s="5" t="n">
        <v>18000</v>
      </c>
      <c r="D20" s="2" t="s">
        <v>33</v>
      </c>
      <c r="E20" s="2" t="s">
        <v>34</v>
      </c>
    </row>
    <row r="21" customFormat="false" ht="15" hidden="false" customHeight="false" outlineLevel="0" collapsed="false">
      <c r="A21" s="2" t="s">
        <v>35</v>
      </c>
      <c r="B21" s="2" t="s">
        <v>13</v>
      </c>
      <c r="C21" s="5" t="n">
        <v>30000</v>
      </c>
      <c r="D21" s="2" t="s">
        <v>36</v>
      </c>
      <c r="E21" s="2" t="s">
        <v>37</v>
      </c>
    </row>
    <row r="23" customFormat="false" ht="15" hidden="false" customHeight="false" outlineLevel="0" collapsed="false">
      <c r="A23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39</v>
      </c>
    </row>
    <row r="3" customFormat="false" ht="15" hidden="false" customHeight="false" outlineLevel="0" collapsed="false">
      <c r="A3" s="2" t="s">
        <v>40</v>
      </c>
      <c r="B3" s="6" t="n">
        <f aca="false">Earnings!C15</f>
        <v>503000</v>
      </c>
    </row>
    <row r="4" customFormat="false" ht="15" hidden="false" customHeight="false" outlineLevel="0" collapsed="false">
      <c r="A4" s="2" t="s">
        <v>41</v>
      </c>
      <c r="B4" s="7" t="n">
        <v>2.8</v>
      </c>
    </row>
    <row r="5" customFormat="false" ht="15" hidden="false" customHeight="false" outlineLevel="0" collapsed="false">
      <c r="A5" s="2" t="s">
        <v>42</v>
      </c>
      <c r="B5" s="7" t="n">
        <v>3.4</v>
      </c>
    </row>
    <row r="6" customFormat="false" ht="15" hidden="false" customHeight="false" outlineLevel="0" collapsed="false">
      <c r="A6" s="2" t="s">
        <v>43</v>
      </c>
      <c r="B6" s="2" t="s">
        <v>44</v>
      </c>
    </row>
    <row r="8" customFormat="false" ht="15" hidden="false" customHeight="false" outlineLevel="0" collapsed="false">
      <c r="A8" s="3" t="s">
        <v>45</v>
      </c>
      <c r="B8" s="6" t="n">
        <f aca="false">B3*B4</f>
        <v>1408400</v>
      </c>
    </row>
    <row r="9" customFormat="false" ht="15" hidden="false" customHeight="false" outlineLevel="0" collapsed="false">
      <c r="A9" s="3" t="s">
        <v>46</v>
      </c>
      <c r="B9" s="6" t="n">
        <f aca="false">B3*(B4+B5)/2</f>
        <v>1559300</v>
      </c>
    </row>
    <row r="10" customFormat="false" ht="15" hidden="false" customHeight="false" outlineLevel="0" collapsed="false">
      <c r="A10" s="3" t="s">
        <v>47</v>
      </c>
      <c r="B10" s="6" t="n">
        <f aca="false">B3*B5</f>
        <v>1710200</v>
      </c>
    </row>
    <row r="12" customFormat="false" ht="15" hidden="false" customHeight="false" outlineLevel="0" collapsed="false">
      <c r="A12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2026-08-14T21:18:57Z</dcterms:created>
  <dc:creator>openpyxl</dc:creator>
  <dc:description/>
  <dc:language>en-US</dc:language>
  <cp:lastModifiedBy/>
  <dcterms:modified xsi:type="dcterms:W3CDTF">2026-08-14T21:18:57Z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