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arnings" sheetId="2" state="visible" r:id="rId4"/>
    <sheet name="SBA" sheetId="3" state="visible" r:id="rId5"/>
    <sheet name="Amortiz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<sst xmlns="http://schemas.openxmlformats.org/spreadsheetml/2006/main" count="72" uniqueCount="60">
  <si>
    <t xml:space="preserve">smbX deal math workbench</t>
  </si>
  <si>
    <t xml:space="preserve">Model</t>
  </si>
  <si>
    <t xml:space="preserve">sba</t>
  </si>
  <si>
    <t xml:space="preserve">Run date</t>
  </si>
  <si>
    <t xml:space="preserve">2026-08-14</t>
  </si>
  <si>
    <t xml:space="preserve">Engine</t>
  </si>
  <si>
    <t xml:space="preserve">v17-reference (engine not yet vendored — see ENGINE_PROVENANCE.md)</t>
  </si>
  <si>
    <t xml:space="preserve">Formulas</t>
  </si>
  <si>
    <t xml:space="preserve">METHODOLOGY_V17 §5.0 — formulas are never invented</t>
  </si>
  <si>
    <t xml:space="preserve">Blue cells are inputs; edit them and the workbook recalculates.</t>
  </si>
  <si>
    <t xml:space="preserve">Earnings Normalization — SAMPLE — Fictional HVAC Co (workbench smoke test, not a real company)</t>
  </si>
  <si>
    <t xml:space="preserve">Line item</t>
  </si>
  <si>
    <t xml:space="preserve">2023</t>
  </si>
  <si>
    <t xml:space="preserve">2024</t>
  </si>
  <si>
    <t xml:space="preserve">Revenue</t>
  </si>
  <si>
    <t xml:space="preserve">Net income</t>
  </si>
  <si>
    <t xml:space="preserve">Owner salary</t>
  </si>
  <si>
    <t xml:space="preserve">Depreciation</t>
  </si>
  <si>
    <t xml:space="preserve">Amortization</t>
  </si>
  <si>
    <t xml:space="preserve">Interest</t>
  </si>
  <si>
    <t xml:space="preserve">Taxes</t>
  </si>
  <si>
    <t xml:space="preserve">One-time expenses</t>
  </si>
  <si>
    <t xml:space="preserve">Non-recurring income</t>
  </si>
  <si>
    <t xml:space="preserve">Verified add-backs (schedule below)</t>
  </si>
  <si>
    <t xml:space="preserve">SDE (V17 §5.1)</t>
  </si>
  <si>
    <t xml:space="preserve">Adjusted EBITDA (V17 §5.2)</t>
  </si>
  <si>
    <t xml:space="preserve">Add-back schedule (verified only enter the math)</t>
  </si>
  <si>
    <t xml:space="preserve">Item</t>
  </si>
  <si>
    <t xml:space="preserve">Year</t>
  </si>
  <si>
    <t xml:space="preserve">Amount</t>
  </si>
  <si>
    <t xml:space="preserve">Verified</t>
  </si>
  <si>
    <t xml:space="preserve">Evidence</t>
  </si>
  <si>
    <t xml:space="preserve">Personal vehicle + insurance</t>
  </si>
  <si>
    <t xml:space="preserve">YES</t>
  </si>
  <si>
    <t xml:space="preserve">sample</t>
  </si>
  <si>
    <t xml:space="preserve">One-off legal settlement</t>
  </si>
  <si>
    <t xml:space="preserve">NO — excluded</t>
  </si>
  <si>
    <t xml:space="preserve">unverified — excluded</t>
  </si>
  <si>
    <t xml:space="preserve">Legend: blue = input (edit these) · black = formula · yellow = key assumption</t>
  </si>
  <si>
    <t xml:space="preserve">Capital Stack &amp; DSCR</t>
  </si>
  <si>
    <t xml:space="preserve">Purchase price</t>
  </si>
  <si>
    <t xml:space="preserve">Loan</t>
  </si>
  <si>
    <t xml:space="preserve">Principal</t>
  </si>
  <si>
    <t xml:space="preserve">Rate</t>
  </si>
  <si>
    <t xml:space="preserve">Term (yrs)</t>
  </si>
  <si>
    <t xml:space="preserve">Monthly pmt</t>
  </si>
  <si>
    <t xml:space="preserve">Annual service</t>
  </si>
  <si>
    <t xml:space="preserve">SBA 7(a)</t>
  </si>
  <si>
    <t xml:space="preserve">Seller note</t>
  </si>
  <si>
    <t xml:space="preserve">Total debt / annual service</t>
  </si>
  <si>
    <t xml:space="preserve">Equity injection</t>
  </si>
  <si>
    <t xml:space="preserve">LTV</t>
  </si>
  <si>
    <t xml:space="preserve">EBITDA (latest)</t>
  </si>
  <si>
    <t xml:space="preserve">SDE (latest)</t>
  </si>
  <si>
    <t xml:space="preserve">DSCR on EBITDA (V17 §5.3)</t>
  </si>
  <si>
    <t xml:space="preserve">DSCR on SDE</t>
  </si>
  <si>
    <t xml:space="preserve">SBA test (≥ 1.25)</t>
  </si>
  <si>
    <t xml:space="preserve">Conventional test (≥ 1.50)</t>
  </si>
  <si>
    <t xml:space="preserve">Amortization (annual rollup — from engine schedule)</t>
  </si>
  <si>
    <t xml:space="preserve">Balance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</si>
</sst>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 t="s">
        <v>7</v>
      </c>
      <c r="B6" s="2" t="s">
        <v>8</v>
      </c>
    </row>
    <row r="8" customFormat="false" ht="15" hidden="false" customHeight="false" outlineLevel="0" collapsed="false">
      <c r="A8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</row>
    <row r="4" customFormat="false" ht="15" hidden="false" customHeight="false" outlineLevel="0" collapsed="false">
      <c r="A4" s="2" t="s">
        <v>14</v>
      </c>
      <c r="B4" s="5" t="n">
        <v>2600000</v>
      </c>
      <c r="C4" s="5" t="n">
        <v>3100000</v>
      </c>
    </row>
    <row r="5" customFormat="false" ht="15" hidden="false" customHeight="false" outlineLevel="0" collapsed="false">
      <c r="A5" s="2" t="s">
        <v>15</v>
      </c>
      <c r="B5" s="5" t="n">
        <v>210000</v>
      </c>
      <c r="C5" s="5" t="n">
        <v>260000</v>
      </c>
    </row>
    <row r="6" customFormat="false" ht="15" hidden="false" customHeight="false" outlineLevel="0" collapsed="false">
      <c r="A6" s="2" t="s">
        <v>16</v>
      </c>
      <c r="B6" s="5" t="n">
        <v>110000</v>
      </c>
      <c r="C6" s="5" t="n">
        <v>120000</v>
      </c>
    </row>
    <row r="7" customFormat="false" ht="15" hidden="false" customHeight="false" outlineLevel="0" collapsed="false">
      <c r="A7" s="2" t="s">
        <v>17</v>
      </c>
      <c r="B7" s="5" t="n">
        <v>55000</v>
      </c>
      <c r="C7" s="5" t="n">
        <v>60000</v>
      </c>
    </row>
    <row r="8" customFormat="false" ht="15" hidden="false" customHeight="false" outlineLevel="0" collapsed="false">
      <c r="A8" s="2" t="s">
        <v>18</v>
      </c>
      <c r="B8" s="5" t="n">
        <v>5000</v>
      </c>
      <c r="C8" s="5" t="n">
        <v>5000</v>
      </c>
    </row>
    <row r="9" customFormat="false" ht="15" hidden="false" customHeight="false" outlineLevel="0" collapsed="false">
      <c r="A9" s="2" t="s">
        <v>19</v>
      </c>
      <c r="B9" s="5" t="n">
        <v>18000</v>
      </c>
      <c r="C9" s="5" t="n">
        <v>15000</v>
      </c>
    </row>
    <row r="10" customFormat="false" ht="15" hidden="false" customHeight="false" outlineLevel="0" collapsed="false">
      <c r="A10" s="2" t="s">
        <v>20</v>
      </c>
      <c r="B10" s="5" t="n">
        <v>42000</v>
      </c>
      <c r="C10" s="5" t="n">
        <v>52000</v>
      </c>
    </row>
    <row r="11" customFormat="false" ht="15" hidden="false" customHeight="false" outlineLevel="0" collapsed="false">
      <c r="A11" s="2" t="s">
        <v>21</v>
      </c>
      <c r="B11" s="5" t="n">
        <v>0</v>
      </c>
      <c r="C11" s="5" t="n">
        <v>25000</v>
      </c>
    </row>
    <row r="12" customFormat="false" ht="15" hidden="false" customHeight="false" outlineLevel="0" collapsed="false">
      <c r="A12" s="2" t="s">
        <v>22</v>
      </c>
      <c r="B12" s="5" t="n">
        <v>0</v>
      </c>
      <c r="C12" s="5" t="n">
        <v>10000</v>
      </c>
    </row>
    <row r="13" customFormat="false" ht="15" hidden="false" customHeight="false" outlineLevel="0" collapsed="false">
      <c r="A13" s="2" t="s">
        <v>23</v>
      </c>
      <c r="B13" s="5" t="n">
        <v>0</v>
      </c>
      <c r="C13" s="5" t="n">
        <v>18000</v>
      </c>
    </row>
    <row r="15" customFormat="false" ht="15" hidden="false" customHeight="false" outlineLevel="0" collapsed="false">
      <c r="A15" s="3" t="s">
        <v>24</v>
      </c>
      <c r="B15" s="6" t="n">
        <f aca="false">B5+B6+B7+B8+B9+B11+B13</f>
        <v>398000</v>
      </c>
      <c r="C15" s="6" t="n">
        <f aca="false">C5+C6+C7+C8+C9+C11+C13</f>
        <v>503000</v>
      </c>
    </row>
    <row r="16" customFormat="false" ht="15" hidden="false" customHeight="false" outlineLevel="0" collapsed="false">
      <c r="A16" s="3" t="s">
        <v>25</v>
      </c>
      <c r="B16" s="6" t="n">
        <f aca="false">B5+B7+B8+B9+B10+B13-B12</f>
        <v>330000</v>
      </c>
      <c r="C16" s="6" t="n">
        <f aca="false">C5+C7+C8+C9+C10+C13-C12</f>
        <v>400000</v>
      </c>
    </row>
    <row r="18" customFormat="false" ht="15" hidden="false" customHeight="false" outlineLevel="0" collapsed="false">
      <c r="A18" s="3" t="s">
        <v>26</v>
      </c>
    </row>
    <row r="19" customFormat="false" ht="15" hidden="false" customHeight="false" outlineLevel="0" collapsed="false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</row>
    <row r="20" customFormat="false" ht="15" hidden="false" customHeight="false" outlineLevel="0" collapsed="false">
      <c r="A20" s="2" t="s">
        <v>32</v>
      </c>
      <c r="B20" s="2" t="s">
        <v>13</v>
      </c>
      <c r="C20" s="5" t="n">
        <v>18000</v>
      </c>
      <c r="D20" s="2" t="s">
        <v>33</v>
      </c>
      <c r="E20" s="2" t="s">
        <v>34</v>
      </c>
    </row>
    <row r="21" customFormat="false" ht="15" hidden="false" customHeight="false" outlineLevel="0" collapsed="false">
      <c r="A21" s="2" t="s">
        <v>35</v>
      </c>
      <c r="B21" s="2" t="s">
        <v>13</v>
      </c>
      <c r="C21" s="5" t="n">
        <v>30000</v>
      </c>
      <c r="D21" s="2" t="s">
        <v>36</v>
      </c>
      <c r="E21" s="2" t="s">
        <v>37</v>
      </c>
    </row>
    <row r="23" customFormat="false" ht="15" hidden="false" customHeight="false" outlineLevel="0" collapsed="false">
      <c r="A23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A3" s="2" t="s">
        <v>40</v>
      </c>
      <c r="B3" s="7" t="n">
        <v>1500000</v>
      </c>
    </row>
    <row r="5" customFormat="false" ht="15" hidden="false" customHeight="false" outlineLevel="0" collapsed="false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</row>
    <row r="6" customFormat="false" ht="15" hidden="false" customHeight="false" outlineLevel="0" collapsed="false">
      <c r="A6" s="2" t="s">
        <v>47</v>
      </c>
      <c r="B6" s="5" t="n">
        <v>1050000</v>
      </c>
      <c r="C6" s="8" t="n">
        <v>0.105</v>
      </c>
      <c r="D6" s="9" t="n">
        <v>10</v>
      </c>
      <c r="E6" s="10" t="n">
        <f aca="false">IF(C6=0,B6/(D6*12),-PMT(C6/12,D6*12,B6))</f>
        <v>14168.1746614324</v>
      </c>
      <c r="F6" s="10" t="n">
        <f aca="false">E6*12</f>
        <v>170018.095937189</v>
      </c>
    </row>
    <row r="7" customFormat="false" ht="15" hidden="false" customHeight="false" outlineLevel="0" collapsed="false">
      <c r="A7" s="2" t="s">
        <v>48</v>
      </c>
      <c r="B7" s="5" t="n">
        <v>150000</v>
      </c>
      <c r="C7" s="8" t="n">
        <v>0.06</v>
      </c>
      <c r="D7" s="9" t="n">
        <v>5</v>
      </c>
      <c r="E7" s="10" t="n">
        <f aca="false">IF(C7=0,B7/(D7*12),-PMT(C7/12,D7*12,B7))</f>
        <v>2899.92022941419</v>
      </c>
      <c r="F7" s="10" t="n">
        <f aca="false">E7*12</f>
        <v>34799.0427529703</v>
      </c>
    </row>
    <row r="8" customFormat="false" ht="15" hidden="false" customHeight="false" outlineLevel="0" collapsed="false">
      <c r="A8" s="3" t="s">
        <v>49</v>
      </c>
      <c r="B8" s="6" t="n">
        <f aca="false">SUM(B6:B7)</f>
        <v>1200000</v>
      </c>
      <c r="F8" s="6" t="n">
        <f aca="false">SUM(F6:F7)</f>
        <v>204817.138690159</v>
      </c>
    </row>
    <row r="10" customFormat="false" ht="15" hidden="false" customHeight="false" outlineLevel="0" collapsed="false">
      <c r="A10" s="2" t="s">
        <v>50</v>
      </c>
      <c r="B10" s="10" t="n">
        <f aca="false">B3-B8</f>
        <v>300000</v>
      </c>
    </row>
    <row r="11" customFormat="false" ht="15" hidden="false" customHeight="false" outlineLevel="0" collapsed="false">
      <c r="A11" s="2" t="s">
        <v>51</v>
      </c>
      <c r="B11" s="11" t="n">
        <f aca="false">IF(B3=0,0,B8/B3)</f>
        <v>0.8</v>
      </c>
    </row>
    <row r="13" customFormat="false" ht="15" hidden="false" customHeight="false" outlineLevel="0" collapsed="false">
      <c r="A13" s="2" t="s">
        <v>52</v>
      </c>
      <c r="B13" s="10" t="n">
        <f aca="false">Earnings!C16</f>
        <v>400000</v>
      </c>
    </row>
    <row r="14" customFormat="false" ht="15" hidden="false" customHeight="false" outlineLevel="0" collapsed="false">
      <c r="A14" s="2" t="s">
        <v>53</v>
      </c>
      <c r="B14" s="10" t="n">
        <f aca="false">Earnings!C15</f>
        <v>503000</v>
      </c>
    </row>
    <row r="15" customFormat="false" ht="15" hidden="false" customHeight="false" outlineLevel="0" collapsed="false">
      <c r="A15" s="3" t="s">
        <v>54</v>
      </c>
      <c r="B15" s="12" t="n">
        <f aca="false">IF(F8=0,0,B13/F8)</f>
        <v>1.95296156639072</v>
      </c>
    </row>
    <row r="16" customFormat="false" ht="15" hidden="false" customHeight="false" outlineLevel="0" collapsed="false">
      <c r="A16" s="3" t="s">
        <v>55</v>
      </c>
      <c r="B16" s="12" t="n">
        <f aca="false">IF(F8=0,0,B14/F8)</f>
        <v>2.45584916973634</v>
      </c>
    </row>
    <row r="17" customFormat="false" ht="15" hidden="false" customHeight="false" outlineLevel="0" collapsed="false">
      <c r="A17" s="2" t="s">
        <v>56</v>
      </c>
      <c r="B17" s="3" t="str">
        <f aca="false">IF(B15&gt;=1.25,"PASS","FAIL")</f>
        <v>PASS</v>
      </c>
    </row>
    <row r="18" customFormat="false" ht="15" hidden="false" customHeight="false" outlineLevel="0" collapsed="false">
      <c r="A18" s="2" t="s">
        <v>57</v>
      </c>
      <c r="B18" s="3" t="str">
        <f aca="false">IF(B15&gt;=1.5,"PASS","FAIL")</f>
        <v>PASS</v>
      </c>
    </row>
    <row r="20" customFormat="false" ht="15" hidden="false" customHeight="false" outlineLevel="0" collapsed="false">
      <c r="A20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58</v>
      </c>
    </row>
    <row r="3" customFormat="false" ht="15" hidden="false" customHeight="false" outlineLevel="0" collapsed="false">
      <c r="A3" s="3" t="s">
        <v>47</v>
      </c>
    </row>
    <row r="4" customFormat="false" ht="15" hidden="false" customHeight="false" outlineLevel="0" collapsed="false">
      <c r="A4" s="3" t="s">
        <v>28</v>
      </c>
      <c r="B4" s="3" t="s">
        <v>19</v>
      </c>
      <c r="C4" s="3" t="s">
        <v>42</v>
      </c>
      <c r="D4" s="3" t="s">
        <v>59</v>
      </c>
    </row>
    <row r="5" customFormat="false" ht="15" hidden="false" customHeight="false" outlineLevel="0" collapsed="false">
      <c r="A5" s="2" t="n">
        <v>1</v>
      </c>
      <c r="B5" s="10" t="n">
        <v>107288.09</v>
      </c>
      <c r="C5" s="10" t="n">
        <v>62730</v>
      </c>
      <c r="D5" s="10" t="n">
        <v>987270</v>
      </c>
    </row>
    <row r="6" customFormat="false" ht="15" hidden="false" customHeight="false" outlineLevel="0" collapsed="false">
      <c r="A6" s="2" t="n">
        <v>2</v>
      </c>
      <c r="B6" s="10" t="n">
        <v>100375.03</v>
      </c>
      <c r="C6" s="10" t="n">
        <v>69643.07</v>
      </c>
      <c r="D6" s="10" t="n">
        <v>917626.93</v>
      </c>
    </row>
    <row r="7" customFormat="false" ht="15" hidden="false" customHeight="false" outlineLevel="0" collapsed="false">
      <c r="A7" s="2" t="n">
        <v>3</v>
      </c>
      <c r="B7" s="10" t="n">
        <v>92700.12</v>
      </c>
      <c r="C7" s="10" t="n">
        <v>77317.97</v>
      </c>
      <c r="D7" s="10" t="n">
        <v>840308.96</v>
      </c>
    </row>
    <row r="8" customFormat="false" ht="15" hidden="false" customHeight="false" outlineLevel="0" collapsed="false">
      <c r="A8" s="2" t="n">
        <v>4</v>
      </c>
      <c r="B8" s="10" t="n">
        <v>84179.42</v>
      </c>
      <c r="C8" s="10" t="n">
        <v>85838.68</v>
      </c>
      <c r="D8" s="10" t="n">
        <v>754470.28</v>
      </c>
    </row>
    <row r="9" customFormat="false" ht="15" hidden="false" customHeight="false" outlineLevel="0" collapsed="false">
      <c r="A9" s="2" t="n">
        <v>5</v>
      </c>
      <c r="B9" s="10" t="n">
        <v>74719.7</v>
      </c>
      <c r="C9" s="10" t="n">
        <v>95298.4</v>
      </c>
      <c r="D9" s="10" t="n">
        <v>659171.88</v>
      </c>
    </row>
    <row r="10" customFormat="false" ht="15" hidden="false" customHeight="false" outlineLevel="0" collapsed="false">
      <c r="A10" s="2" t="n">
        <v>6</v>
      </c>
      <c r="B10" s="10" t="n">
        <v>64217.48</v>
      </c>
      <c r="C10" s="10" t="n">
        <v>105800.61</v>
      </c>
      <c r="D10" s="10" t="n">
        <v>553371.27</v>
      </c>
    </row>
    <row r="11" customFormat="false" ht="15" hidden="false" customHeight="false" outlineLevel="0" collapsed="false">
      <c r="A11" s="2" t="n">
        <v>7</v>
      </c>
      <c r="B11" s="10" t="n">
        <v>52557.89</v>
      </c>
      <c r="C11" s="10" t="n">
        <v>117460.2</v>
      </c>
      <c r="D11" s="10" t="n">
        <v>435911.06</v>
      </c>
    </row>
    <row r="12" customFormat="false" ht="15" hidden="false" customHeight="false" outlineLevel="0" collapsed="false">
      <c r="A12" s="2" t="n">
        <v>8</v>
      </c>
      <c r="B12" s="10" t="n">
        <v>39613.37</v>
      </c>
      <c r="C12" s="10" t="n">
        <v>130404.72</v>
      </c>
      <c r="D12" s="10" t="n">
        <v>305506.34</v>
      </c>
    </row>
    <row r="13" customFormat="false" ht="15" hidden="false" customHeight="false" outlineLevel="0" collapsed="false">
      <c r="A13" s="2" t="n">
        <v>9</v>
      </c>
      <c r="B13" s="10" t="n">
        <v>25242.32</v>
      </c>
      <c r="C13" s="10" t="n">
        <v>144775.77</v>
      </c>
      <c r="D13" s="10" t="n">
        <v>160730.56</v>
      </c>
    </row>
    <row r="14" customFormat="false" ht="15" hidden="false" customHeight="false" outlineLevel="0" collapsed="false">
      <c r="A14" s="2" t="n">
        <v>10</v>
      </c>
      <c r="B14" s="10" t="n">
        <v>9287.53</v>
      </c>
      <c r="C14" s="10" t="n">
        <v>160730.56</v>
      </c>
      <c r="D14" s="10" t="n">
        <v>0</v>
      </c>
    </row>
    <row r="16" customFormat="false" ht="15" hidden="false" customHeight="false" outlineLevel="0" collapsed="false">
      <c r="A16" s="3" t="s">
        <v>48</v>
      </c>
    </row>
    <row r="17" customFormat="false" ht="15" hidden="false" customHeight="false" outlineLevel="0" collapsed="false">
      <c r="A17" s="3" t="s">
        <v>28</v>
      </c>
      <c r="B17" s="3" t="s">
        <v>19</v>
      </c>
      <c r="C17" s="3" t="s">
        <v>42</v>
      </c>
      <c r="D17" s="3" t="s">
        <v>59</v>
      </c>
    </row>
    <row r="18" customFormat="false" ht="15" hidden="false" customHeight="false" outlineLevel="0" collapsed="false">
      <c r="A18" s="2" t="n">
        <v>1</v>
      </c>
      <c r="B18" s="10" t="n">
        <v>8278.57</v>
      </c>
      <c r="C18" s="10" t="n">
        <v>26520.48</v>
      </c>
      <c r="D18" s="10" t="n">
        <v>123479.52</v>
      </c>
    </row>
    <row r="19" customFormat="false" ht="15" hidden="false" customHeight="false" outlineLevel="0" collapsed="false">
      <c r="A19" s="2" t="n">
        <v>2</v>
      </c>
      <c r="B19" s="10" t="n">
        <v>6642.84</v>
      </c>
      <c r="C19" s="10" t="n">
        <v>28156.2</v>
      </c>
      <c r="D19" s="10" t="n">
        <v>95323.32</v>
      </c>
    </row>
    <row r="20" customFormat="false" ht="15" hidden="false" customHeight="false" outlineLevel="0" collapsed="false">
      <c r="A20" s="2" t="n">
        <v>3</v>
      </c>
      <c r="B20" s="10" t="n">
        <v>4906.23</v>
      </c>
      <c r="C20" s="10" t="n">
        <v>29892.81</v>
      </c>
      <c r="D20" s="10" t="n">
        <v>65430.51</v>
      </c>
    </row>
    <row r="21" customFormat="false" ht="15" hidden="false" customHeight="false" outlineLevel="0" collapsed="false">
      <c r="A21" s="2" t="n">
        <v>4</v>
      </c>
      <c r="B21" s="10" t="n">
        <v>3062.51</v>
      </c>
      <c r="C21" s="10" t="n">
        <v>31736.54</v>
      </c>
      <c r="D21" s="10" t="n">
        <v>33693.98</v>
      </c>
    </row>
    <row r="22" customFormat="false" ht="15" hidden="false" customHeight="false" outlineLevel="0" collapsed="false">
      <c r="A22" s="2" t="n">
        <v>5</v>
      </c>
      <c r="B22" s="10" t="n">
        <v>1105.07</v>
      </c>
      <c r="C22" s="10" t="n">
        <v>33693.98</v>
      </c>
      <c r="D22" s="1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2026-08-14T21:18:57Z</dcterms:created>
  <dc:creator>openpyxl</dc:creator>
  <dc:description/>
  <dc:language>en-US</dc:language>
  <cp:lastModifiedBy/>
  <dcterms:modified xsi:type="dcterms:W3CDTF">2026-08-14T21:18:57Z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