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" sheetId="1" state="visible" r:id="rId3"/>
    <sheet name="Method" sheetId="2" state="visible" r:id="rId4"/>
    <sheet name="Referral sources" sheetId="3" state="visible" r:id="rId5"/>
  </sheets>
  <definedNames>
    <definedName function="false" hidden="true" localSheetId="0" name="_xlnm._FilterDatabase" vbProcedure="false">Board!$A$1:$S$94</definedName>
    <definedName function="false" hidden="true" localSheetId="2" name="_xlnm._FilterDatabase" vbProcedure="false">'Referral sources'!$A$1:$I$36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<sst xmlns="http://schemas.openxmlformats.org/spreadsheetml/2006/main" count="1739" uniqueCount="998">
  <si>
    <t xml:space="preserve">#</t>
  </si>
  <si>
    <t xml:space="preserve">Score</t>
  </si>
  <si>
    <t xml:space="preserve">Tier</t>
  </si>
  <si>
    <t xml:space="preserve">Firm</t>
  </si>
  <si>
    <t xml:space="preserve">Type</t>
  </si>
  <si>
    <t xml:space="preserve">Buy signal (DERIVED)</t>
  </si>
  <si>
    <t xml:space="preserve">Lead with</t>
  </si>
  <si>
    <t xml:space="preserve">Contact</t>
  </si>
  <si>
    <t xml:space="preserve">Title</t>
  </si>
  <si>
    <t xml:space="preserve">LinkedIn action</t>
  </si>
  <si>
    <t xml:space="preserve">LinkedIn query (Sales Nav)</t>
  </si>
  <si>
    <t xml:space="preserve">Texas</t>
  </si>
  <si>
    <t xml:space="preserve">Verticals</t>
  </si>
  <si>
    <t xml:space="preserve">Domain</t>
  </si>
  <si>
    <t xml:space="preserve">org_id</t>
  </si>
  <si>
    <t xml:space="preserve">Why this score</t>
  </si>
  <si>
    <t xml:space="preserve">Flag</t>
  </si>
  <si>
    <t xml:space="preserve">Source</t>
  </si>
  <si>
    <t xml:space="preserve">Notes</t>
  </si>
  <si>
    <t xml:space="preserve">B</t>
  </si>
  <si>
    <t xml:space="preserve">Green Heron Partners</t>
  </si>
  <si>
    <t xml:space="preserve">P3_INDEPENDENT_SPONSOR</t>
  </si>
  <si>
    <t xml:space="preserve">unknown</t>
  </si>
  <si>
    <t xml:space="preserve">conviction</t>
  </si>
  <si>
    <t xml:space="preserve">Houston Johnson</t>
  </si>
  <si>
    <t xml:space="preserve">Managing Partner</t>
  </si>
  <si>
    <t xml:space="preserve">Connect with Houston Johnson, Managing Partner</t>
  </si>
  <si>
    <t xml:space="preserve">Lead search: "Houston Johnson" · Current company = "Green Heron Partners"</t>
  </si>
  <si>
    <t xml:space="preserve">yes</t>
  </si>
  <si>
    <t xml:space="preserve">commercial_plumbing|facilities_services</t>
  </si>
  <si>
    <t xml:space="preserve">greenheronpartners.com</t>
  </si>
  <si>
    <t xml:space="preserve">ORG-104</t>
  </si>
  <si>
    <t xml:space="preserve">need 8 (unknown) · lane 25 (dfw yes, trade match) · reach 15 · structure 10 (independent_sponsor) · activity 15 (5mo since last evidenced deal)</t>
  </si>
  <si>
    <t xml:space="preserve">https://www.prnewswire.com/news-releases/green-heron-partners-announces-strategic-investment-in-regency-plumbing-contractors-302694264.html</t>
  </si>
  <si>
    <t xml:space="preserve">[2026-08-18 client-register-v1 / P3-019] Confirmed fundless (Aviara placement agent). Regency Plumbing (Houston) Feb 2026.</t>
  </si>
  <si>
    <t xml:space="preserve">AE Industrial Partners</t>
  </si>
  <si>
    <t xml:space="preserve">P1_PE</t>
  </si>
  <si>
    <t xml:space="preserve">Bryan McElwee</t>
  </si>
  <si>
    <t xml:space="preserve">Partner</t>
  </si>
  <si>
    <t xml:space="preserve">Connect with Bryan McElwee, Partner</t>
  </si>
  <si>
    <t xml:space="preserve">Lead search: "Bryan McElwee" · Current company = "AE Industrial Partners"</t>
  </si>
  <si>
    <t xml:space="preserve">fire_life_safety|commercial_hvac|commercial_mep</t>
  </si>
  <si>
    <t xml:space="preserve">aeroequity.com</t>
  </si>
  <si>
    <t xml:space="preserve">ORG-082</t>
  </si>
  <si>
    <t xml:space="preserve">need 8 (unknown) · lane 25 (dfw yes, trade match) · reach 15 · structure 3 (pe_fund) · activity 15 (6mo since last evidenced deal)</t>
  </si>
  <si>
    <t xml:space="preserve">https://www.businesswire.com/news/home/20260120089736/en/</t>
  </si>
  <si>
    <t xml:space="preserve">[2026-08-18 client-register-v1 / P1-001] United Building Solutions (DFW Mechanical, Wylie TX, Jan 2026); Altus Fire and Life Safety.</t>
  </si>
  <si>
    <t xml:space="preserve">Sunny River Management (SRM Equity Partners)</t>
  </si>
  <si>
    <t xml:space="preserve">P2_FAMILY_OFFICE</t>
  </si>
  <si>
    <t xml:space="preserve">John Cote</t>
  </si>
  <si>
    <t xml:space="preserve">Connect with John Cote, Managing Partner</t>
  </si>
  <si>
    <t xml:space="preserve">Lead search: "John Cote" · Current company = "Sunny River Management (SRM Equity Partners)"</t>
  </si>
  <si>
    <t xml:space="preserve">fire_life_safety|commercial_hvac</t>
  </si>
  <si>
    <t xml:space="preserve">sunnyrivermanagement.com</t>
  </si>
  <si>
    <t xml:space="preserve">ORG-100</t>
  </si>
  <si>
    <t xml:space="preserve">need 8 (unknown) · lane 25 (dfw yes, trade match) · reach 15 · structure 10 (family_office) · activity 8 (19mo since last evidenced deal)</t>
  </si>
  <si>
    <t xml:space="preserve">https://firesp.com/news/fire-safety-protection-acquires-livingston-fire-protection-inc/</t>
  </si>
  <si>
    <t xml:space="preserve">[2026-08-18 client-register-v1 / P2-036] Private family investment firm. Built Fire Safety &amp; Protection (FSP), 8+ acquisitions. Also Palmetto Air &amp; Water Balance (Abilene/Fort Worth/Lubbock).</t>
  </si>
  <si>
    <t xml:space="preserve">Tecta America</t>
  </si>
  <si>
    <t xml:space="preserve">P4_PLATFORM</t>
  </si>
  <si>
    <t xml:space="preserve">Dave Reginelli</t>
  </si>
  <si>
    <t xml:space="preserve">CEO</t>
  </si>
  <si>
    <t xml:space="preserve">Connect with Dave Reginelli, CEO</t>
  </si>
  <si>
    <t xml:space="preserve">Lead search: "Dave Reginelli" · Current company = "Tecta America"</t>
  </si>
  <si>
    <t xml:space="preserve">roofing</t>
  </si>
  <si>
    <t xml:space="preserve">tectaamerica.com</t>
  </si>
  <si>
    <t xml:space="preserve">ORG-121</t>
  </si>
  <si>
    <t xml:space="preserve">need 8 (unknown) · lane 25 (dfw yes, trade match) · reach 15 · structure 5 (platform) · activity 12 (8mo since last evidenced deal)</t>
  </si>
  <si>
    <t xml:space="preserve">https://ctacquisitions.com/roofing-pe-rollup-tracker-2026/</t>
  </si>
  <si>
    <t xml:space="preserve">[2026-08-18 client-register-v1 / P4-059] Largest PE-backed commercial roofing platform, 100+ locations. Texas Roofing (Round Rock) Dec 2025, 6th add-on of 2025.</t>
  </si>
  <si>
    <t xml:space="preserve">Bright Equities</t>
  </si>
  <si>
    <t xml:space="preserve">Single family office</t>
  </si>
  <si>
    <t xml:space="preserve">thesis_no_flow</t>
  </si>
  <si>
    <t xml:space="preserve">origination</t>
  </si>
  <si>
    <t xml:space="preserve">Paul Thibodeaux</t>
  </si>
  <si>
    <t xml:space="preserve">President &amp; Managing Director</t>
  </si>
  <si>
    <t xml:space="preserve">Connect with Paul Thibodeaux, President &amp; Managing Director</t>
  </si>
  <si>
    <t xml:space="preserve">Lead search: "Paul Thibodeaux" · Current company = "Bright Equities"</t>
  </si>
  <si>
    <t xml:space="preserve">brightequities.com</t>
  </si>
  <si>
    <t xml:space="preserve">ORG-004</t>
  </si>
  <si>
    <t xml:space="preserve">need 35 (thesis_no_flow) · lane 3 (dfw unknown, trade miss) · reach 15 · structure 10 (family_office) · activity 5 (no dated deal evidence) · ×0.92 trade press, not their own disclosure</t>
  </si>
  <si>
    <t xml:space="preserve">https://brightequities.com/</t>
  </si>
  <si>
    <t xml:space="preserve">Flagged low confidence in research pass 2 — verify they actually deploy into acquisitions.</t>
  </si>
  <si>
    <t xml:space="preserve">Platte River Equity</t>
  </si>
  <si>
    <t xml:space="preserve">Mark Brown</t>
  </si>
  <si>
    <t xml:space="preserve">Managing Director</t>
  </si>
  <si>
    <t xml:space="preserve">Connect with Mark Brown, Managing Director</t>
  </si>
  <si>
    <t xml:space="preserve">Lead search: "Mark Brown" · Current company = "Platte River Equity"</t>
  </si>
  <si>
    <t xml:space="preserve">building_automation|commercial_electrical|utility_services</t>
  </si>
  <si>
    <t xml:space="preserve">platteriverequity.com</t>
  </si>
  <si>
    <t xml:space="preserve">ORG-094</t>
  </si>
  <si>
    <t xml:space="preserve">need 8 (unknown) · lane 25 (dfw yes, trade match) · reach 15 · structure 3 (pe_fund) · activity 12 (7mo since last evidenced deal)</t>
  </si>
  <si>
    <t xml:space="preserve">https://platteriverequity.com/platte-river-equity-announces-the-acquisition-of-building-controls-solutions/</t>
  </si>
  <si>
    <t xml:space="preserve">[2026-08-18 client-register-v1 / P1-048] Building Controls &amp; Solutions (Dallas); Team UIS (Jan 2026).</t>
  </si>
  <si>
    <t xml:space="preserve">United Building Solutions</t>
  </si>
  <si>
    <t xml:space="preserve">David Leathers</t>
  </si>
  <si>
    <t xml:space="preserve">Connect with David Leathers, CEO</t>
  </si>
  <si>
    <t xml:space="preserve">Lead search: "David Leathers" · Current company = "United Building Solutions"</t>
  </si>
  <si>
    <t xml:space="preserve">commercial_hvac|commercial_mep</t>
  </si>
  <si>
    <t xml:space="preserve">ORG-123</t>
  </si>
  <si>
    <t xml:space="preserve">need 8 (unknown) · lane 25 (dfw yes, trade match) · reach 10 · structure 5 (platform) · activity 15 (6mo since last evidenced deal)</t>
  </si>
  <si>
    <t xml:space="preserve">no domain on file</t>
  </si>
  <si>
    <t xml:space="preserve">[2026-08-18 client-register-v1 / P4-064] DFW Mechanical Group (Wylie, TX) Jan 2026 - 2nd add-on since Feb 2025. DFW President: Brett Thomas. Domain not verified.</t>
  </si>
  <si>
    <t xml:space="preserve">The Sterling Group</t>
  </si>
  <si>
    <t xml:space="preserve">Greg Elliott</t>
  </si>
  <si>
    <t xml:space="preserve">Connect with Greg Elliott, Partner</t>
  </si>
  <si>
    <t xml:space="preserve">Lead search: "Greg Elliott" · Current company = "The Sterling Group"</t>
  </si>
  <si>
    <t xml:space="preserve">commercial_mep|residential_plumbing|residential_electrical</t>
  </si>
  <si>
    <t xml:space="preserve">sterling-group.com</t>
  </si>
  <si>
    <t xml:space="preserve">ORG-096</t>
  </si>
  <si>
    <t xml:space="preserve">need 8 (unknown) · lane 25 (dfw yes, trade match) · reach 15 · structure 3 (pe_fund) · activity 8 (21mo since last evidenced deal)</t>
  </si>
  <si>
    <t xml:space="preserve">https://sterling-group.com/</t>
  </si>
  <si>
    <t xml:space="preserve">[2026-08-18 client-register-v1 / P1-057] L&amp;S Mechanical (Richardson, TX), residential tri-trade MEP new construction, held in Fund IV. QECC add-on Nov 2024.</t>
  </si>
  <si>
    <t xml:space="preserve">BASE Equity Partners</t>
  </si>
  <si>
    <t xml:space="preserve">Independent sponsor</t>
  </si>
  <si>
    <t xml:space="preserve">Benjamin G. Schneider</t>
  </si>
  <si>
    <t xml:space="preserve">Founder</t>
  </si>
  <si>
    <t xml:space="preserve">Connect with Benjamin G. Schneider, Founder</t>
  </si>
  <si>
    <t xml:space="preserve">Lead search: "Benjamin G. Schneider" · Current company = "BASE Equity Partners"</t>
  </si>
  <si>
    <t xml:space="preserve">ORG-057</t>
  </si>
  <si>
    <t xml:space="preserve">need 35 (thesis_no_flow) · lane 3 (dfw unknown, trade miss) · reach 10 · structure 10 (independent_sponsor) · activity 5 (no dated deal evidence) · ×0.92 trade press, not their own disclosure</t>
  </si>
  <si>
    <t xml:space="preserve">https://www.iglobalforum.com/</t>
  </si>
  <si>
    <t xml:space="preserve">Cascadily LLC</t>
  </si>
  <si>
    <t xml:space="preserve">Josh Susser</t>
  </si>
  <si>
    <t xml:space="preserve">Managing Member</t>
  </si>
  <si>
    <t xml:space="preserve">Connect with Josh Susser, Managing Member</t>
  </si>
  <si>
    <t xml:space="preserve">Lead search: "Josh Susser" · Current company = "Cascadily LLC"</t>
  </si>
  <si>
    <t xml:space="preserve">ORG-063</t>
  </si>
  <si>
    <t xml:space="preserve">Included for completeness only.</t>
  </si>
  <si>
    <t xml:space="preserve">FirstCall Mechanical Group</t>
  </si>
  <si>
    <t xml:space="preserve">Evan Eachus</t>
  </si>
  <si>
    <t xml:space="preserve">Chief Executive Officer</t>
  </si>
  <si>
    <t xml:space="preserve">Connect with Evan Eachus, Chief Executive Officer</t>
  </si>
  <si>
    <t xml:space="preserve">Lead search: "Evan Eachus" · Current company = "FirstCall Mechanical Group"</t>
  </si>
  <si>
    <t xml:space="preserve">commercial_hvac|commercial_mep|building_automation|commercial_electrical</t>
  </si>
  <si>
    <t xml:space="preserve">firstcallmechanical.com</t>
  </si>
  <si>
    <t xml:space="preserve">ORG-027</t>
  </si>
  <si>
    <t xml:space="preserve">need 8 (unknown) · lane 25 (dfw yes, trade match) · reach 15 · structure 5 (platform) · activity 5 (no dated deal evidence)</t>
  </si>
  <si>
    <t xml:space="preserve">https://www.achrnews.com/articles/152616-skyknight-capital-launches-firstcall-mechanical-group-with-three-acquisitions</t>
  </si>
  <si>
    <t xml:space="preserve">Commercial MEP fit; Austin not DFW. | prior source_url (2026-08-18): https://www.businesswire.com/ | [2026-08-18 client-register-v1 / P4-021] LC Anderson (Aug 2025); CLS Facility Services. Texas HQ.</t>
  </si>
  <si>
    <t xml:space="preserve">Gittemeier Ventures</t>
  </si>
  <si>
    <t xml:space="preserve">Luke Gittemeier, CFA</t>
  </si>
  <si>
    <t xml:space="preserve">Founder / Principal (INFERRED — VERIFY)</t>
  </si>
  <si>
    <t xml:space="preserve">Connect with Luke Gittemeier, CFA, Founder / Principal (INFERRED — VERIFY)</t>
  </si>
  <si>
    <t xml:space="preserve">Lead search: "Luke Gittemeier, CFA" · Current company = "Gittemeier Ventures"</t>
  </si>
  <si>
    <t xml:space="preserve">ORG-029</t>
  </si>
  <si>
    <t xml:space="preserve">need 35 (thesis_no_flow) · lane 3 (dfw unknown, trade miss) · reach 10 · structure 10 (family_office) · activity 5 (no dated deal evidence) · ×0.92 trade press, not their own disclosure</t>
  </si>
  <si>
    <t xml:space="preserve">https://www.axial.net/</t>
  </si>
  <si>
    <t xml:space="preserve">Pritzker Private Capital</t>
  </si>
  <si>
    <t xml:space="preserve">Eric Kieras</t>
  </si>
  <si>
    <t xml:space="preserve">Investment Partner</t>
  </si>
  <si>
    <t xml:space="preserve">Connect with Eric Kieras, Investment Partner</t>
  </si>
  <si>
    <t xml:space="preserve">Lead search: "Eric Kieras" · Current company = "Pritzker Private Capital"</t>
  </si>
  <si>
    <t xml:space="preserve">landscaping|facilities_services|industrial_services</t>
  </si>
  <si>
    <t xml:space="preserve">ppcpartners.com</t>
  </si>
  <si>
    <t xml:space="preserve">ORG-099</t>
  </si>
  <si>
    <t xml:space="preserve">need 8 (unknown) · lane 13 (dfw unknown, trade match) · reach 15 · structure 10 (family_office) · activity 12 (11mo since last evidenced deal)</t>
  </si>
  <si>
    <t xml:space="preserve">https://www.ppcpartners.com/</t>
  </si>
  <si>
    <t xml:space="preserve">[2026-08-18 client-register-v1 / P2-027] 31 platforms, 110+ add-ons, &gt;$10B deployed. HeartLand (commercial landscaping).</t>
  </si>
  <si>
    <t xml:space="preserve">Prodos Capital</t>
  </si>
  <si>
    <t xml:space="preserve">Douglas Song</t>
  </si>
  <si>
    <t xml:space="preserve">Co-Founder / Managing Director</t>
  </si>
  <si>
    <t xml:space="preserve">Connect with Douglas Song, Co-Founder / Managing Director</t>
  </si>
  <si>
    <t xml:space="preserve">Lead search: "Douglas Song" · Current company = "Prodos Capital"</t>
  </si>
  <si>
    <t xml:space="preserve">ORG-074</t>
  </si>
  <si>
    <t xml:space="preserve">Serata Capital Partners / Calidant Capital</t>
  </si>
  <si>
    <t xml:space="preserve">Drew N. Bagot</t>
  </si>
  <si>
    <t xml:space="preserve">Founder / Managing Partner</t>
  </si>
  <si>
    <t xml:space="preserve">Connect with Drew N. Bagot, Founder / Managing Partner</t>
  </si>
  <si>
    <t xml:space="preserve">Lead search: "Drew N. Bagot" · Current company = "Serata Capital Partners / Calidant Capital"</t>
  </si>
  <si>
    <t xml:space="preserve">ORG-013</t>
  </si>
  <si>
    <t xml:space="preserve">SixFive Partners</t>
  </si>
  <si>
    <t xml:space="preserve">Operator-led independent sponsor</t>
  </si>
  <si>
    <t xml:space="preserve">Michael Speaker</t>
  </si>
  <si>
    <t xml:space="preserve">Co-Founder</t>
  </si>
  <si>
    <t xml:space="preserve">Connect with Michael Speaker, Co-Founder</t>
  </si>
  <si>
    <t xml:space="preserve">Lead search: "Michael Speaker" · Current company = "SixFive Partners"</t>
  </si>
  <si>
    <t xml:space="preserve">ORG-048</t>
  </si>
  <si>
    <t xml:space="preserve">SR Capital Advisors</t>
  </si>
  <si>
    <t xml:space="preserve">Steve Reinstadtler</t>
  </si>
  <si>
    <t xml:space="preserve">Principal</t>
  </si>
  <si>
    <t xml:space="preserve">Connect with Steve Reinstadtler, Principal</t>
  </si>
  <si>
    <t xml:space="preserve">Lead search: "Steve Reinstadtler" · Current company = "SR Capital Advisors"</t>
  </si>
  <si>
    <t xml:space="preserve">ORG-046</t>
  </si>
  <si>
    <t xml:space="preserve">Texas HVAC services platform (name undisclosed)</t>
  </si>
  <si>
    <t xml:space="preserve">Cody Sechelski</t>
  </si>
  <si>
    <t xml:space="preserve">Connect with Cody Sechelski, Founder</t>
  </si>
  <si>
    <t xml:space="preserve">Lead search: "Cody Sechelski" · Current company = "Texas HVAC services platform (name undisclosed)"</t>
  </si>
  <si>
    <t xml:space="preserve">ORG-015</t>
  </si>
  <si>
    <t xml:space="preserve">NAME REDACTED — no company to search; go via the person</t>
  </si>
  <si>
    <t xml:space="preserve">https://finance.yahoo.com/small-business/articles/raises-com-r-advises-successful-223000367.html</t>
  </si>
  <si>
    <t xml:space="preserve">Distinct from unrelated same-name individuals. Structure was equity-light with institutional senior credit.</t>
  </si>
  <si>
    <t xml:space="preserve">Align Capital Partners</t>
  </si>
  <si>
    <t xml:space="preserve">Find the corp-dev / BD owner</t>
  </si>
  <si>
    <t xml:space="preserve">Lead search: Current company = "Align Capital Partners" · Seniority = Director/VP/CXO · Title contains: Corporate Development OR M&amp;A OR Acquisitions OR Business Development</t>
  </si>
  <si>
    <t xml:space="preserve">facilities_services|industrial_services</t>
  </si>
  <si>
    <t xml:space="preserve">aligncp.com</t>
  </si>
  <si>
    <t xml:space="preserve">ORG-083</t>
  </si>
  <si>
    <t xml:space="preserve">need 8 (unknown) · lane 25 (dfw yes, trade match) · reach 5 (no named contact) · structure 3 (pe_fund) · activity 15 (2mo since last evidenced deal)</t>
  </si>
  <si>
    <t xml:space="preserve">https://aligncp.com/</t>
  </si>
  <si>
    <t xml:space="preserve">[2026-08-18 client-register-v1 / P1-003] Dallas office. 40 platforms / 145 add-ons since 2016. Open BD VP role = T5 signal alongside T2.</t>
  </si>
  <si>
    <t xml:space="preserve">Bernhard Capital Partners</t>
  </si>
  <si>
    <t xml:space="preserve">Mark Spender</t>
  </si>
  <si>
    <t xml:space="preserve">Connect with Mark Spender, Partner</t>
  </si>
  <si>
    <t xml:space="preserve">Lead search: "Mark Spender" · Current company = "Bernhard Capital Partners"</t>
  </si>
  <si>
    <t xml:space="preserve">energy_services|utility_services</t>
  </si>
  <si>
    <t xml:space="preserve">bernhardcapital.com</t>
  </si>
  <si>
    <t xml:space="preserve">ORG-085</t>
  </si>
  <si>
    <t xml:space="preserve">need 8 (unknown) · lane 15 (dfw yes, trade miss) · reach 15 · structure 3 (pe_fund) · activity 15 (0mo since last evidenced deal)</t>
  </si>
  <si>
    <t xml:space="preserve">https://www.bernhardcapital.com/bcp-backed-united-utility-services-completes-acquisition-of-bhi-power-delivery/</t>
  </si>
  <si>
    <t xml:space="preserve">[2026-08-18 client-register-v1 / P1-013] TechServ (Tyler, TX) platform Jun 2025, 850+ employees, 21 states. Formed United Utility (sold to Sandbrook); Optimum Energy Co.</t>
  </si>
  <si>
    <t xml:space="preserve">Greenbelt Capital Partners</t>
  </si>
  <si>
    <t xml:space="preserve">Chris Murphy</t>
  </si>
  <si>
    <t xml:space="preserve">Connect with Chris Murphy, Partner</t>
  </si>
  <si>
    <t xml:space="preserve">Lead search: "Chris Murphy" · Current company = "Greenbelt Capital Partners"</t>
  </si>
  <si>
    <t xml:space="preserve">utility_services|energy_services</t>
  </si>
  <si>
    <t xml:space="preserve">greenbeltcap.com</t>
  </si>
  <si>
    <t xml:space="preserve">ORG-087</t>
  </si>
  <si>
    <t xml:space="preserve">need 8 (unknown) · lane 15 (dfw yes, trade miss) · reach 15 · structure 3 (pe_fund) · activity 15 (5mo since last evidenced deal)</t>
  </si>
  <si>
    <t xml:space="preserve">https://www.orix.com/deals/greenbelt-capital-partners-agrees-to-acquire-peak-utility-services-group-from-orix-capital-partners/</t>
  </si>
  <si>
    <t xml:space="preserve">[2026-08-18 client-register-v1 / P1-023] Definitive agreement to acquire Peak Utility Services from ORIX.</t>
  </si>
  <si>
    <t xml:space="preserve">The SEER Group</t>
  </si>
  <si>
    <t xml:space="preserve">Justin Nagy</t>
  </si>
  <si>
    <t xml:space="preserve">Connect with Justin Nagy, CEO</t>
  </si>
  <si>
    <t xml:space="preserve">Lead search: "Justin Nagy" · Current company = "The SEER Group"</t>
  </si>
  <si>
    <t xml:space="preserve">residential_hvac|residential_plumbing|residential_electrical</t>
  </si>
  <si>
    <t xml:space="preserve">ORG-122</t>
  </si>
  <si>
    <t xml:space="preserve">need 8 (unknown) · lane 25 (dfw yes, trade match) · reach 10 · structure 5 (platform) · activity 8 (15mo since last evidenced deal)</t>
  </si>
  <si>
    <t xml:space="preserve">https://www.businesswire.com/</t>
  </si>
  <si>
    <t xml:space="preserve">[2026-08-18 client-register-v1 / P4-063] Swan Electric Plumbing Heating &amp; Air (Sunnyvale TX / greater DFW) Apr 2025 - 42nd brand, Texas entry. Sponsor undisclosed. HQ and domain not verified.</t>
  </si>
  <si>
    <t xml:space="preserve">Comfort Systems USA</t>
  </si>
  <si>
    <t xml:space="preserve">Lead search: Current company = "Comfort Systems USA" · Seniority = Director/VP/CXO · Title contains: Corporate Development OR M&amp;A OR Acquisitions OR Business Development</t>
  </si>
  <si>
    <t xml:space="preserve">commercial_hvac|commercial_mep|commercial_electrical</t>
  </si>
  <si>
    <t xml:space="preserve">comfortsystemsusa.com</t>
  </si>
  <si>
    <t xml:space="preserve">ORG-108</t>
  </si>
  <si>
    <t xml:space="preserve">need 8 (unknown) · lane 25 (dfw yes, trade match) · reach 5 (no named contact) · structure 5 (platform) · activity 12 (10mo since last evidenced deal)</t>
  </si>
  <si>
    <t xml:space="preserve">https://ctacquisitions.com/guides/private-equity-hvac-2026/</t>
  </si>
  <si>
    <t xml:space="preserve">[2026-08-18 client-register-v1 / P4-013] PUBLIC STRATEGIC, not sponsor-backed. Continuous roll-up. J&amp;S Mechanical (UT); Feyen Zylstra + Meisner Electric (Oct 2025). Large in-house corp dev.</t>
  </si>
  <si>
    <t xml:space="preserve">Southern Home Services</t>
  </si>
  <si>
    <t xml:space="preserve">Lead search: Current company = "Southern Home Services" · Seniority = Director/VP/CXO · Title contains: Corporate Development OR M&amp;A OR Acquisitions OR Business Development</t>
  </si>
  <si>
    <t xml:space="preserve">residential_plumbing|residential_hvac</t>
  </si>
  <si>
    <t xml:space="preserve">southernhomeservices.com</t>
  </si>
  <si>
    <t xml:space="preserve">ORG-118</t>
  </si>
  <si>
    <t xml:space="preserve">need 8 (unknown) · lane 25 (dfw yes, trade match) · reach 5 (no named contact) · structure 5 (platform) · activity 12 (9mo since last evidenced deal)</t>
  </si>
  <si>
    <t xml:space="preserve">https://southernhomeservices.com/</t>
  </si>
  <si>
    <t xml:space="preserve">[2026-08-18 client-register-v1 / P4-055] Nick's Plumbing &amp; Air Conditioning (Houston) Oct 2025, 4th TX location. Sponsor undisclosed. HQ not verified.</t>
  </si>
  <si>
    <t xml:space="preserve">C</t>
  </si>
  <si>
    <t xml:space="preserve">Astara Capital Partners</t>
  </si>
  <si>
    <t xml:space="preserve">Michael Ranson</t>
  </si>
  <si>
    <t xml:space="preserve">Connect with Michael Ranson, Managing Partner</t>
  </si>
  <si>
    <t xml:space="preserve">Lead search: "Michael Ranson" · Current company = "Astara Capital Partners"</t>
  </si>
  <si>
    <t xml:space="preserve">astaracapital.com</t>
  </si>
  <si>
    <t xml:space="preserve">ORG-102</t>
  </si>
  <si>
    <t xml:space="preserve">need 8 (unknown) · lane 13 (dfw unknown, trade match) · reach 15 · structure 10 (independent_sponsor) · activity 8 (19mo since last evidenced deal)</t>
  </si>
  <si>
    <t xml:space="preserve">https://www.prnewswire.com/news-releases/astara-capital-partners-completes-investment-in-del-air-heating-and-air-conditioning-301670657.html</t>
  </si>
  <si>
    <t xml:space="preserve">[2026-08-18 client-register-v1 / P3-004] AMBIGUOUS: Del-Air made from committed Fund I - arguably P1_PE not fundless. Flagged.</t>
  </si>
  <si>
    <t xml:space="preserve">Broadtree Partners</t>
  </si>
  <si>
    <t xml:space="preserve">P5_SEARCH_FUND_INVESTOR</t>
  </si>
  <si>
    <t xml:space="preserve">Brad Batten</t>
  </si>
  <si>
    <t xml:space="preserve">Connect with Brad Batten, Managing Partner</t>
  </si>
  <si>
    <t xml:space="preserve">Lead search: "Brad Batten" · Current company = "Broadtree Partners"</t>
  </si>
  <si>
    <t xml:space="preserve">facilities_services</t>
  </si>
  <si>
    <t xml:space="preserve">broadtreepartners.com</t>
  </si>
  <si>
    <t xml:space="preserve">ORG-126</t>
  </si>
  <si>
    <t xml:space="preserve">https://broadtreepartners.com/about/</t>
  </si>
  <si>
    <t xml:space="preserve">[2026-08-18 client-register-v1 / P5-002] Operator-centric LMM $1-10M EBITDA; business/government/healthcare/tech services. Second office Charleston SC.</t>
  </si>
  <si>
    <t xml:space="preserve">Confluence Point Holdings</t>
  </si>
  <si>
    <t xml:space="preserve">Doug Behrman</t>
  </si>
  <si>
    <t xml:space="preserve">Co-founder</t>
  </si>
  <si>
    <t xml:space="preserve">Connect with Doug Behrman, Co-founder</t>
  </si>
  <si>
    <t xml:space="preserve">Lead search: "Doug Behrman" · Current company = "Confluence Point Holdings"</t>
  </si>
  <si>
    <t xml:space="preserve">confluencepoint.com</t>
  </si>
  <si>
    <t xml:space="preserve">ORG-103</t>
  </si>
  <si>
    <t xml:space="preserve">need 8 (unknown) · lane 13 (dfw unknown, trade match) · reach 15 · structure 10 (independent_sponsor) · activity 8 (14mo since last evidenced deal)</t>
  </si>
  <si>
    <t xml:space="preserve">https://www.prnewswire.com/news-releases/confluence-point-acquires-perrys-roofing-launches-eastern-exterior-partners-302470946.html</t>
  </si>
  <si>
    <t xml:space="preserve">[2026-08-18 client-register-v1 / P3-012] Perry's Roofing acquisition launched Eastern Exterior Partners Jun 2025. Targets $1-7M EBITDA.</t>
  </si>
  <si>
    <t xml:space="preserve">IMB Partners</t>
  </si>
  <si>
    <t xml:space="preserve">Tarrus Richardson</t>
  </si>
  <si>
    <t xml:space="preserve">Founder &amp; CEO</t>
  </si>
  <si>
    <t xml:space="preserve">Connect with Tarrus Richardson, Founder &amp; CEO</t>
  </si>
  <si>
    <t xml:space="preserve">Lead search: "Tarrus Richardson" · Current company = "IMB Partners"</t>
  </si>
  <si>
    <t xml:space="preserve">utility_services|commercial_electrical</t>
  </si>
  <si>
    <t xml:space="preserve">imbpartners.com</t>
  </si>
  <si>
    <t xml:space="preserve">ORG-090</t>
  </si>
  <si>
    <t xml:space="preserve">need 8 (unknown) · lane 13 (dfw unknown, trade match) · reach 15 · structure 3 (pe_fund) · activity 15 (1mo since last evidenced deal)</t>
  </si>
  <si>
    <t xml:space="preserve">https://www.businesswire.com/news/home/20220315005268/en/</t>
  </si>
  <si>
    <t xml:space="preserve">[2026-08-18 client-register-v1 / P1-031] Utility/govt services. Carr &amp; Duff (2022); Strategic Land Services (2026); Farwest Corrosion.</t>
  </si>
  <si>
    <t xml:space="preserve">IX Capital Partners</t>
  </si>
  <si>
    <t xml:space="preserve">Julian Buegers</t>
  </si>
  <si>
    <t xml:space="preserve">Connect with Julian Buegers, Partner</t>
  </si>
  <si>
    <t xml:space="preserve">Lead search: "Julian Buegers" · Current company = "IX Capital Partners"</t>
  </si>
  <si>
    <t xml:space="preserve">commercial_electrical|utility_services</t>
  </si>
  <si>
    <t xml:space="preserve">ix-partners.com</t>
  </si>
  <si>
    <t xml:space="preserve">ORG-105</t>
  </si>
  <si>
    <t xml:space="preserve">need 8 (unknown) · lane 13 (dfw unknown, trade match) · reach 15 · structure 10 (independent_sponsor) · activity 8 (15mo since last evidenced deal)</t>
  </si>
  <si>
    <t xml:space="preserve">https://www.businesswire.com/news/home/20250515946305/en/</t>
  </si>
  <si>
    <t xml:space="preserve">[2026-08-18 client-register-v1 / P3-022] PitchBook-labeled fundless sponsor. Teague Electric (KC) May 2025 with Align Collaborate equity.</t>
  </si>
  <si>
    <t xml:space="preserve">Watchtower Capital Partners</t>
  </si>
  <si>
    <t xml:space="preserve">Mike Minchella</t>
  </si>
  <si>
    <t xml:space="preserve">Connect with Mike Minchella, Managing Partner</t>
  </si>
  <si>
    <t xml:space="preserve">Lead search: "Mike Minchella" · Current company = "Watchtower Capital Partners"</t>
  </si>
  <si>
    <t xml:space="preserve">residential_hvac|residential_plumbing</t>
  </si>
  <si>
    <t xml:space="preserve">watchtowercp.com</t>
  </si>
  <si>
    <t xml:space="preserve">ORG-106</t>
  </si>
  <si>
    <t xml:space="preserve">https://www.prnewswire.com/news-releases/watchtower-capital-partners-completes-first-platform-investment-in-ally-services-301861252.html</t>
  </si>
  <si>
    <t xml:space="preserve">[2026-08-18 client-register-v1 / P3-040] Backs Ally Services (Mid-Atlantic). 2025 add-ons: J Hood, Tri-County Aire, Above &amp; Beyond. Founding platform Jun 2023 with Aldine Capital.</t>
  </si>
  <si>
    <t xml:space="preserve">Averon Group</t>
  </si>
  <si>
    <t xml:space="preserve">Lead search: Current company = "Averon Group" · Seniority = Director/VP/CXO · Title contains: Corporate Development OR M&amp;A OR Acquisitions OR Business Development</t>
  </si>
  <si>
    <t xml:space="preserve">energy_services|commercial_hvac</t>
  </si>
  <si>
    <t xml:space="preserve">ORG-107</t>
  </si>
  <si>
    <t xml:space="preserve">need 8 (unknown) · lane 25 (dfw yes, trade match) · reach 0 (no named contact) · structure 5 (platform) · activity 15 (6mo since last evidenced deal)</t>
  </si>
  <si>
    <t xml:space="preserve">https://www.businesswire.com/news/home/20260204186977/en/</t>
  </si>
  <si>
    <t xml:space="preserve">[2026-08-18 client-register-v1 / P4-008] National HVAC distribution. Blackhawk Supply (Jun 2025) + Fenco Supply (Feb 2026). Domain not verified.</t>
  </si>
  <si>
    <t xml:space="preserve">ETA Equity</t>
  </si>
  <si>
    <t xml:space="preserve">Mark Sinatra</t>
  </si>
  <si>
    <t xml:space="preserve">Connect with Mark Sinatra, Co-Founder</t>
  </si>
  <si>
    <t xml:space="preserve">Lead search: "Mark Sinatra" · Current company = "ETA Equity"</t>
  </si>
  <si>
    <t xml:space="preserve">other</t>
  </si>
  <si>
    <t xml:space="preserve">etaequity.com</t>
  </si>
  <si>
    <t xml:space="preserve">ORG-128</t>
  </si>
  <si>
    <t xml:space="preserve">need 8 (unknown) · lane 15 (dfw yes, trade miss) · reach 15 · structure 10 (independent_sponsor) · activity 5 (no dated deal evidence)</t>
  </si>
  <si>
    <t xml:space="preserve">https://etaequity.com/</t>
  </si>
  <si>
    <t xml:space="preserve">[2026-08-18 client-register-v1 / P5-005] Industry-agnostic search-fund/dual-strategy investor. Dallas-based.</t>
  </si>
  <si>
    <t xml:space="preserve">Miramar Equity Partners</t>
  </si>
  <si>
    <t xml:space="preserve">Kurt Leedy</t>
  </si>
  <si>
    <t xml:space="preserve">Connect with Kurt Leedy, Co-Founder</t>
  </si>
  <si>
    <t xml:space="preserve">Lead search: "Kurt Leedy" · Current company = "Miramar Equity Partners"</t>
  </si>
  <si>
    <t xml:space="preserve">miramarequity.com</t>
  </si>
  <si>
    <t xml:space="preserve">ORG-131</t>
  </si>
  <si>
    <t xml:space="preserve">https://miramarequity.com/</t>
  </si>
  <si>
    <t xml:space="preserve">[2026-08-18 client-register-v1 / P5-008] Family-office capital funding searchers (Miramar Search Partners); checks up to $25M for stretch deals.</t>
  </si>
  <si>
    <t xml:space="preserve">Next Coast ETA</t>
  </si>
  <si>
    <t xml:space="preserve">Dustin Sellers</t>
  </si>
  <si>
    <t xml:space="preserve">Partner / Co-Head</t>
  </si>
  <si>
    <t xml:space="preserve">Connect with Dustin Sellers, Partner / Co-Head</t>
  </si>
  <si>
    <t xml:space="preserve">Lead search: "Dustin Sellers" · Current company = "Next Coast ETA"</t>
  </si>
  <si>
    <t xml:space="preserve">nceta.com</t>
  </si>
  <si>
    <t xml:space="preserve">ORG-133</t>
  </si>
  <si>
    <t xml:space="preserve">http://nceta.com/</t>
  </si>
  <si>
    <t xml:space="preserve">[2026-08-18 client-register-v1 / P5-010] Search division of Next Coast Ventures; lower/middle market.</t>
  </si>
  <si>
    <t xml:space="preserve">Peak Utility Services Group</t>
  </si>
  <si>
    <t xml:space="preserve">Michael Lennon</t>
  </si>
  <si>
    <t xml:space="preserve">Connect with Michael Lennon, CEO</t>
  </si>
  <si>
    <t xml:space="preserve">Lead search: "Michael Lennon" · Current company = "Peak Utility Services Group"</t>
  </si>
  <si>
    <t xml:space="preserve">ORG-115</t>
  </si>
  <si>
    <t xml:space="preserve">need 8 (unknown) · lane 15 (dfw yes, trade miss) · reach 10 · structure 5 (platform) · activity 15 (5mo since last evidenced deal)</t>
  </si>
  <si>
    <t xml:space="preserve">[2026-08-18 client-register-v1 / P4-042] ~2,800 employees, 15 states. 5 Star Electric (DFW), Superior Pipeline (Fort Worth). Ownership transferring ORIX to Greenbelt. Domain not verified.</t>
  </si>
  <si>
    <t xml:space="preserve">InnoVen Services</t>
  </si>
  <si>
    <t xml:space="preserve">Operator-acquirer</t>
  </si>
  <si>
    <t xml:space="preserve">Godson Udeh</t>
  </si>
  <si>
    <t xml:space="preserve">Co-Founder &amp; Chief Executive Officer</t>
  </si>
  <si>
    <t xml:space="preserve">Connect with Godson Udeh, Co-Founder &amp; Chief Executive Officer</t>
  </si>
  <si>
    <t xml:space="preserve">Lead search: "Godson Udeh" · Current company = "InnoVen Services"</t>
  </si>
  <si>
    <t xml:space="preserve">ORG-009</t>
  </si>
  <si>
    <t xml:space="preserve">need 35 (thesis_no_flow) · lane 3 (dfw unknown, trade miss) · reach 10 · structure 4 (unknown) · activity 5 (no dated deal evidence) · ×0.92 trade press, not their own disclosure</t>
  </si>
  <si>
    <t xml:space="preserve">https://www.businesswire.com/news/home/20241112148058/en/</t>
  </si>
  <si>
    <t xml:space="preserve">Highest-fit direct client on the board: DFW + exact vertical + funded + no internal corp dev.</t>
  </si>
  <si>
    <t xml:space="preserve">User Friendly Home Services</t>
  </si>
  <si>
    <t xml:space="preserve">Bruce Howard</t>
  </si>
  <si>
    <t xml:space="preserve">Founder &amp; Chief Executive Officer</t>
  </si>
  <si>
    <t xml:space="preserve">Connect with Bruce Howard, Founder &amp; Chief Executive Officer</t>
  </si>
  <si>
    <t xml:space="preserve">Lead search: "Bruce Howard" · Current company = "User Friendly Home Services"</t>
  </si>
  <si>
    <t xml:space="preserve">ORG-016</t>
  </si>
  <si>
    <t xml:space="preserve">https://www.craftflow.com/dossier/what-companies-has-user-friendly-home-services-acquired</t>
  </si>
  <si>
    <t xml:space="preserve">Clearest single-sentence value proposition of any target on the board.</t>
  </si>
  <si>
    <t xml:space="preserve">MFG Partners</t>
  </si>
  <si>
    <t xml:space="preserve">Jeff Mizrahi</t>
  </si>
  <si>
    <t xml:space="preserve">Connect with Jeff Mizrahi, Partner</t>
  </si>
  <si>
    <t xml:space="preserve">Lead search: "Jeff Mizrahi" · Current company = "MFG Partners"</t>
  </si>
  <si>
    <t xml:space="preserve">mfgpartners.com</t>
  </si>
  <si>
    <t xml:space="preserve">ORG-092</t>
  </si>
  <si>
    <t xml:space="preserve">need 8 (unknown) · lane 13 (dfw unknown, trade match) · reach 15 · structure 3 (pe_fund) · activity 12 (8mo since last evidenced deal)</t>
  </si>
  <si>
    <t xml:space="preserve">https://www.businesswire.com/news/home/20251118389583/en/</t>
  </si>
  <si>
    <t xml:space="preserve">[2026-08-18 client-register-v1 / P1-039] Regency Electric (Denver); CST Utilities (OH). Fund vs fundless status not disclosed.</t>
  </si>
  <si>
    <t xml:space="preserve">Nashton Partners (The Nashton Company)</t>
  </si>
  <si>
    <t xml:space="preserve">Jason Pananos</t>
  </si>
  <si>
    <t xml:space="preserve">Connect with Jason Pananos, Co-Founder</t>
  </si>
  <si>
    <t xml:space="preserve">Lead search: "Jason Pananos" · Current company = "Nashton Partners (The Nashton Company)"</t>
  </si>
  <si>
    <t xml:space="preserve">nashton.com</t>
  </si>
  <si>
    <t xml:space="preserve">ORG-132</t>
  </si>
  <si>
    <t xml:space="preserve">need 8 (unknown) · lane 13 (dfw unknown, trade match) · reach 15 · structure 10 (independent_sponsor) · activity 5 (no dated deal evidence)</t>
  </si>
  <si>
    <t xml:space="preserve">https://www.nashton.com/</t>
  </si>
  <si>
    <t xml:space="preserve">[2026-08-18 client-register-v1 / P5-009] Holding company; recurring-revenue services in niche markets (pest/vector control, lake management). HQ city not verified.</t>
  </si>
  <si>
    <t xml:space="preserve">Acharya Capital Partners</t>
  </si>
  <si>
    <t xml:space="preserve">David Acharya</t>
  </si>
  <si>
    <t xml:space="preserve">Connect with David Acharya, Managing Partner</t>
  </si>
  <si>
    <t xml:space="preserve">Lead search: "David Acharya" · Current company = "Acharya Capital Partners"</t>
  </si>
  <si>
    <t xml:space="preserve">ORG-055</t>
  </si>
  <si>
    <t xml:space="preserve">need 35 (thesis_no_flow) · lane 3 (dfw unknown, trade miss) · reach 10 · structure 10 (independent_sponsor) · activity 5 (no dated deal evidence) · ×0.80 directory only — verify before acting</t>
  </si>
  <si>
    <t xml:space="preserve">Centerfield Capital / Centerfield</t>
  </si>
  <si>
    <t xml:space="preserve">Faraz Abbasi</t>
  </si>
  <si>
    <t xml:space="preserve">Connect with Faraz Abbasi, Principal</t>
  </si>
  <si>
    <t xml:space="preserve">Lead search: "Faraz Abbasi" · Current company = "Centerfield Capital / Centerfield"</t>
  </si>
  <si>
    <t xml:space="preserve">ORG-065</t>
  </si>
  <si>
    <t xml:space="preserve">Braes Bayou Company</t>
  </si>
  <si>
    <t xml:space="preserve">Lead search: Current company = "Braes Bayou Company" · Seniority = Director/VP/CXO · Title contains: Corporate Development OR M&amp;A OR Acquisitions OR Business Development</t>
  </si>
  <si>
    <t xml:space="preserve">ORG-059</t>
  </si>
  <si>
    <t xml:space="preserve">need 35 (thesis_no_flow) · lane 3 (dfw unknown, trade miss) · reach 0 (no named contact) · structure 10 (independent_sponsor) · activity 5 (no dated deal evidence) · ×0.92 trade press, not their own disclosure</t>
  </si>
  <si>
    <t xml:space="preserve">Exigent Group</t>
  </si>
  <si>
    <t xml:space="preserve">Peter van Niekerk</t>
  </si>
  <si>
    <t xml:space="preserve">Connect with Peter van Niekerk, CEO</t>
  </si>
  <si>
    <t xml:space="preserve">Lead search: "Peter van Niekerk" · Current company = "Exigent Group"</t>
  </si>
  <si>
    <t xml:space="preserve">commercial_hvac|commercial_mep|building_automation|commercial_plumbing</t>
  </si>
  <si>
    <t xml:space="preserve">exigentgroup.com</t>
  </si>
  <si>
    <t xml:space="preserve">ORG-110</t>
  </si>
  <si>
    <t xml:space="preserve">need 8 (unknown) · lane 13 (dfw unknown, trade match) · reach 15 · structure 5 (platform) · activity 8 (24mo since last evidenced deal)</t>
  </si>
  <si>
    <t xml:space="preserve">https://www.businesswire.com/news/home/20240723945976/en/</t>
  </si>
  <si>
    <t xml:space="preserve">[2026-08-18 client-register-v1 / P4-019] Mission-critical mechanical. 7+ acquisitions; Smith-Boughan + EASI Jul 2024.</t>
  </si>
  <si>
    <t xml:space="preserve">Helium Capital</t>
  </si>
  <si>
    <t xml:space="preserve">Lead search: Current company = "Helium Capital" · Seniority = Director/VP/CXO · Title contains: Corporate Development OR M&amp;A OR Acquisitions OR Business Development</t>
  </si>
  <si>
    <t xml:space="preserve">ORG-032</t>
  </si>
  <si>
    <t xml:space="preserve">Strong fit; worth the naming effort.</t>
  </si>
  <si>
    <t xml:space="preserve">ORIX Capital Partners</t>
  </si>
  <si>
    <t xml:space="preserve">Matt Scullion</t>
  </si>
  <si>
    <t xml:space="preserve">Connect with Matt Scullion, Managing Director</t>
  </si>
  <si>
    <t xml:space="preserve">Lead search: "Matt Scullion" · Current company = "ORIX Capital Partners"</t>
  </si>
  <si>
    <t xml:space="preserve">orix.com</t>
  </si>
  <si>
    <t xml:space="preserve">ORG-093</t>
  </si>
  <si>
    <t xml:space="preserve">need 8 (unknown) · lane 15 (dfw yes, trade miss) · reach 15 · structure 3 (pe_fund) · activity 8 (16mo since last evidenced deal)</t>
  </si>
  <si>
    <t xml:space="preserve">[2026-08-18 client-register-v1 / P1-044] Peak Utility incl. 5 Star Electric (DFW, ~$108.7M per SEC 8-K) and Superior Pipeline (Fort Worth). Selling Peak to Greenbelt.</t>
  </si>
  <si>
    <t xml:space="preserve">Voyager Interests</t>
  </si>
  <si>
    <t xml:space="preserve">Robert Trainer</t>
  </si>
  <si>
    <t xml:space="preserve">Connect with Robert Trainer, Partner</t>
  </si>
  <si>
    <t xml:space="preserve">Lead search: "Robert Trainer" · Current company = "Voyager Interests"</t>
  </si>
  <si>
    <t xml:space="preserve">energy_services</t>
  </si>
  <si>
    <t xml:space="preserve">voyagerinterests.com</t>
  </si>
  <si>
    <t xml:space="preserve">ORG-097</t>
  </si>
  <si>
    <t xml:space="preserve">need 8 (unknown) · lane 15 (dfw yes, trade miss) · reach 15 · structure 3 (pe_fund) · activity 8 (17mo since last evidenced deal)</t>
  </si>
  <si>
    <t xml:space="preserve">https://voyagerinterests.com/</t>
  </si>
  <si>
    <t xml:space="preserve">[2026-08-18 client-register-v1 / P1-060] Tejas Completion Services (Midland, TX), specialty pumping. Majority investment Mar 2025.</t>
  </si>
  <si>
    <t xml:space="preserve">Huron Capital</t>
  </si>
  <si>
    <t xml:space="preserve">Cale Kaczmarek</t>
  </si>
  <si>
    <t xml:space="preserve">Connect with Cale Kaczmarek, Principal</t>
  </si>
  <si>
    <t xml:space="preserve">Lead search: "Cale Kaczmarek" · Current company = "Huron Capital"</t>
  </si>
  <si>
    <t xml:space="preserve">commercial_hvac|commercial_mep|building_automation|commercial_electrical|roofing</t>
  </si>
  <si>
    <t xml:space="preserve">huroncapital.com</t>
  </si>
  <si>
    <t xml:space="preserve">ORG-089</t>
  </si>
  <si>
    <t xml:space="preserve">need 8 (unknown) · lane 13 (dfw unknown, trade match) · reach 15 · structure 3 (pe_fund) · activity 8 (24mo since last evidenced deal)</t>
  </si>
  <si>
    <t xml:space="preserve">https://www.huroncapital.com/news/huron-capital-launches-rampart-exterior-servicestm-to-provide-commercial-roofing-and-exterior-services/</t>
  </si>
  <si>
    <t xml:space="preserve">[2026-08-18 client-register-v1 / P1-030] ExecFactor buy-and-build. Exigent, Rampart Exterior, RK Electric/Criticore.</t>
  </si>
  <si>
    <t xml:space="preserve">Optimum Energy Co.</t>
  </si>
  <si>
    <t xml:space="preserve">Lead search: Current company = "Optimum Energy Co." · Seniority = Director/VP/CXO · Title contains: Corporate Development OR M&amp;A OR Acquisitions OR Business Development</t>
  </si>
  <si>
    <t xml:space="preserve">energy_services|commercial_mep</t>
  </si>
  <si>
    <t xml:space="preserve">optimumenergyco.com</t>
  </si>
  <si>
    <t xml:space="preserve">ORG-113</t>
  </si>
  <si>
    <t xml:space="preserve">need 8 (unknown) · lane 13 (dfw unknown, trade match) · reach 5 (no named contact) · structure 5 (platform) · activity 15 (0mo since last evidenced deal)</t>
  </si>
  <si>
    <t xml:space="preserve">https://www.businesswire.com/news/home/20260812343122/en/</t>
  </si>
  <si>
    <t xml:space="preserve">[2026-08-18 client-register-v1 / P4-037] Energy-as-a-Service; central plant optimization. Hussung Mechanical Contractors Aug 2026. HQ not verified.</t>
  </si>
  <si>
    <t xml:space="preserve">Rampart Exterior Services</t>
  </si>
  <si>
    <t xml:space="preserve">Lead search: Current company = "Rampart Exterior Services" · Seniority = Director/VP/CXO · Title contains: Corporate Development OR M&amp;A OR Acquisitions OR Business Development</t>
  </si>
  <si>
    <t xml:space="preserve">roofing|facilities_services</t>
  </si>
  <si>
    <t xml:space="preserve">ORG-116</t>
  </si>
  <si>
    <t xml:space="preserve">need 8 (unknown) · lane 25 (dfw yes, trade match) · reach 0 (no named contact) · structure 5 (platform) · activity 8 (19mo since last evidenced deal)</t>
  </si>
  <si>
    <t xml:space="preserve">[2026-08-18 client-register-v1 / P4-046] Commercial roofing/exterior. Port Enterprises (TX) partnership. HQ and domain not verified.</t>
  </si>
  <si>
    <t xml:space="preserve">Panther Service Group</t>
  </si>
  <si>
    <t xml:space="preserve">Lead search: Current company = "Panther Service Group" · Seniority = Director/VP/CXO · Title contains: Corporate Development OR M&amp;A OR Acquisitions OR Business Development</t>
  </si>
  <si>
    <t xml:space="preserve">pantherservicegroup.com</t>
  </si>
  <si>
    <t xml:space="preserve">ORG-114</t>
  </si>
  <si>
    <t xml:space="preserve">need 8 (unknown) · lane 13 (dfw unknown, trade match) · reach 5 (no named contact) · structure 5 (platform) · activity 12 (7mo since last evidenced deal)</t>
  </si>
  <si>
    <t xml:space="preserve">https://www.prnewswire.com/news-releases/pearl-street-capital-partners-launches-panther-service-group-a-new-plumbing-hvac-and-electrical-services-platform-focused-in-florida-302731949.html</t>
  </si>
  <si>
    <t xml:space="preserve">[2026-08-18 client-register-v1 / P4-039] NEW FL platform founded 2026. No add-ons yet - high origination need. HQ not verified.</t>
  </si>
  <si>
    <t xml:space="preserve">United Utility Services</t>
  </si>
  <si>
    <t xml:space="preserve">Colt Moedl</t>
  </si>
  <si>
    <t xml:space="preserve">Connect with Colt Moedl, CEO</t>
  </si>
  <si>
    <t xml:space="preserve">Lead search: "Colt Moedl" · Current company = "United Utility Services"</t>
  </si>
  <si>
    <t xml:space="preserve">unitedutility.com</t>
  </si>
  <si>
    <t xml:space="preserve">ORG-124</t>
  </si>
  <si>
    <t xml:space="preserve">need 8 (unknown) · lane 3 (dfw unknown, trade miss) · reach 15 · structure 5 (platform) · activity 12 (8mo since last evidenced deal)</t>
  </si>
  <si>
    <t xml:space="preserve">https://www.sandbrook.com/news/sandbrook-announces-acquisition-of-united-utility-services</t>
  </si>
  <si>
    <t xml:space="preserve">[2026-08-18 client-register-v1 / P4-065] Electric grid infra services (T&amp;D/substation). Formed 2018 by Bernhard; sold to Sandbrook Dec 2025. HQ not verified.</t>
  </si>
  <si>
    <t xml:space="preserve">Anacapa Partners</t>
  </si>
  <si>
    <t xml:space="preserve">Jeff Stevens</t>
  </si>
  <si>
    <t xml:space="preserve">Connect with Jeff Stevens, Founder / Managing Partner</t>
  </si>
  <si>
    <t xml:space="preserve">Lead search: "Jeff Stevens" · Current company = "Anacapa Partners"</t>
  </si>
  <si>
    <t xml:space="preserve">anacapapartners.com</t>
  </si>
  <si>
    <t xml:space="preserve">ORG-125</t>
  </si>
  <si>
    <t xml:space="preserve">need 8 (unknown) · lane 3 (dfw unknown, trade miss) · reach 15 · structure 10 (independent_sponsor) · activity 5 (no dated deal evidence)</t>
  </si>
  <si>
    <t xml:space="preserve">https://anacapapartners.com/</t>
  </si>
  <si>
    <t xml:space="preserve">[2026-08-18 client-register-v1 / P5-001] 175+ search partnerships, 60+ operating-company investments. Predictable/recurring revenue. Also acts as IS on select deals.</t>
  </si>
  <si>
    <t xml:space="preserve">Endurance Search Partners</t>
  </si>
  <si>
    <t xml:space="preserve">Rich Augustyn</t>
  </si>
  <si>
    <t xml:space="preserve">Connect with Rich Augustyn, Founder / Managing Partner</t>
  </si>
  <si>
    <t xml:space="preserve">Lead search: "Rich Augustyn" · Current company = "Endurance Search Partners"</t>
  </si>
  <si>
    <t xml:space="preserve">endurancesearchpartners.com</t>
  </si>
  <si>
    <t xml:space="preserve">ORG-127</t>
  </si>
  <si>
    <t xml:space="preserve">https://www.endurancesearchpartners.com/</t>
  </si>
  <si>
    <t xml:space="preserve">[2026-08-18 client-register-v1 / P5-004] Modern family office; 350+ partnerships, 226 investments. States preference for profitable service companies with recurring revenue.</t>
  </si>
  <si>
    <t xml:space="preserve">Footbridge Partners</t>
  </si>
  <si>
    <t xml:space="preserve">Greg Geronemus</t>
  </si>
  <si>
    <t xml:space="preserve">Co-Founder / Managing Partner</t>
  </si>
  <si>
    <t xml:space="preserve">Connect with Greg Geronemus, Co-Founder / Managing Partner</t>
  </si>
  <si>
    <t xml:space="preserve">Lead search: "Greg Geronemus" · Current company = "Footbridge Partners"</t>
  </si>
  <si>
    <t xml:space="preserve">footbridgepartners.com</t>
  </si>
  <si>
    <t xml:space="preserve">ORG-129</t>
  </si>
  <si>
    <t xml:space="preserve">https://www.footbridgepartners.com/</t>
  </si>
  <si>
    <t xml:space="preserve">[2026-08-18 client-register-v1 / P5-006] Founded 2012; stable recurring-revenue businesses in overlooked niches. Second office SF Bay Area.</t>
  </si>
  <si>
    <t xml:space="preserve">Futaleufu Partners</t>
  </si>
  <si>
    <t xml:space="preserve">David Dodson</t>
  </si>
  <si>
    <t xml:space="preserve">Connect with David Dodson, Founder</t>
  </si>
  <si>
    <t xml:space="preserve">Lead search: "David Dodson" · Current company = "Futaleufu Partners"</t>
  </si>
  <si>
    <t xml:space="preserve">futaleufu-partners.com</t>
  </si>
  <si>
    <t xml:space="preserve">ORG-130</t>
  </si>
  <si>
    <t xml:space="preserve">https://futaleufu-partners.com/</t>
  </si>
  <si>
    <t xml:space="preserve">[2026-08-18 client-register-v1 / P5-007] Long-hold ETA; industry-agnostic, pattern-recognition over industry thesis.</t>
  </si>
  <si>
    <t xml:space="preserve">Pacific Lake Partners</t>
  </si>
  <si>
    <t xml:space="preserve">Coley Andrews</t>
  </si>
  <si>
    <t xml:space="preserve">Co-Founder / Partner</t>
  </si>
  <si>
    <t xml:space="preserve">Connect with Coley Andrews, Co-Founder / Partner</t>
  </si>
  <si>
    <t xml:space="preserve">Lead search: "Coley Andrews" · Current company = "Pacific Lake Partners"</t>
  </si>
  <si>
    <t xml:space="preserve">pacificlake.com</t>
  </si>
  <si>
    <t xml:space="preserve">ORG-134</t>
  </si>
  <si>
    <t xml:space="preserve">https://www.pacificlake.com/</t>
  </si>
  <si>
    <t xml:space="preserve">[2026-08-18 client-register-v1 / P5-011] Leading search-fund investor since Jul 2009, 202+ investments. Industry-agnostic, backs service companies ~$10-30M revenue. Both AUM figures carried.</t>
  </si>
  <si>
    <t xml:space="preserve">Permanent Equity</t>
  </si>
  <si>
    <t xml:space="preserve">Brent Beshore</t>
  </si>
  <si>
    <t xml:space="preserve">Founder / CEO</t>
  </si>
  <si>
    <t xml:space="preserve">Connect with Brent Beshore, Founder / CEO</t>
  </si>
  <si>
    <t xml:space="preserve">Lead search: "Brent Beshore" · Current company = "Permanent Equity"</t>
  </si>
  <si>
    <t xml:space="preserve">industrial_services</t>
  </si>
  <si>
    <t xml:space="preserve">permanentequity.com</t>
  </si>
  <si>
    <t xml:space="preserve">ORG-135</t>
  </si>
  <si>
    <t xml:space="preserve">https://www.permanentequity.com/</t>
  </si>
  <si>
    <t xml:space="preserve">[2026-08-18 client-register-v1 / P5-012] ~30-year funds. Portfolio incl. niche construction, manufacturing and distribution.</t>
  </si>
  <si>
    <t xml:space="preserve">Relay Investments</t>
  </si>
  <si>
    <t xml:space="preserve">Sandro Mina</t>
  </si>
  <si>
    <t xml:space="preserve">Connect with Sandro Mina, Co-Founder</t>
  </si>
  <si>
    <t xml:space="preserve">Lead search: "Sandro Mina" · Current company = "Relay Investments"</t>
  </si>
  <si>
    <t xml:space="preserve">relayinvestments.com</t>
  </si>
  <si>
    <t xml:space="preserve">ORG-136</t>
  </si>
  <si>
    <t xml:space="preserve">https://www.relayinvestments.com/</t>
  </si>
  <si>
    <t xml:space="preserve">[2026-08-18 client-register-v1 / P5-013] 250+ search funds, 160+ acquisitions. Industry-agnostic; 15-25% stake, $1-3.5M equity checks.</t>
  </si>
  <si>
    <t xml:space="preserve">Sandbrook Capital</t>
  </si>
  <si>
    <t xml:space="preserve">United Utility CEO</t>
  </si>
  <si>
    <t xml:space="preserve">Connect with Colt Moedl, United Utility CEO</t>
  </si>
  <si>
    <t xml:space="preserve">Lead search: "Colt Moedl" · Current company = "Sandbrook Capital"</t>
  </si>
  <si>
    <t xml:space="preserve">sandbrook.com</t>
  </si>
  <si>
    <t xml:space="preserve">ORG-095</t>
  </si>
  <si>
    <t xml:space="preserve">need 8 (unknown) · lane 3 (dfw unknown, trade miss) · reach 15 · structure 3 (pe_fund) · activity 12 (8mo since last evidenced deal)</t>
  </si>
  <si>
    <t xml:space="preserve">[2026-08-18 client-register-v1 / P1-050] Acquired United Utility (grid infra) from Bernhard, with Blackstone Credit.</t>
  </si>
  <si>
    <t xml:space="preserve">Search Fund Partners</t>
  </si>
  <si>
    <t xml:space="preserve">Rich Kelley</t>
  </si>
  <si>
    <t xml:space="preserve">Connect with Rich Kelley, Co-Founder</t>
  </si>
  <si>
    <t xml:space="preserve">Lead search: "Rich Kelley" · Current company = "Search Fund Partners"</t>
  </si>
  <si>
    <t xml:space="preserve">searchfunds.net</t>
  </si>
  <si>
    <t xml:space="preserve">ORG-137</t>
  </si>
  <si>
    <t xml:space="preserve">https://www.searchfunds.net/</t>
  </si>
  <si>
    <t xml:space="preserve">[2026-08-18 client-register-v1 / P5-014] First PE fund dedicated to search funds (2004); 202 investments through 2025. Bay Area; exact city not verified.</t>
  </si>
  <si>
    <t xml:space="preserve">The Brydon Group</t>
  </si>
  <si>
    <t xml:space="preserve">Lead search: Current company = "The Brydon Group" · Seniority = Director/VP/CXO · Title contains: Corporate Development OR M&amp;A OR Acquisitions OR Business Development</t>
  </si>
  <si>
    <t xml:space="preserve">brydon.com</t>
  </si>
  <si>
    <t xml:space="preserve">ORG-101</t>
  </si>
  <si>
    <t xml:space="preserve">need 8 (unknown) · lane 13 (dfw unknown, trade match) · reach 5 (no named contact) · structure 10 (family_office) · activity 5 (no dated deal evidence)</t>
  </si>
  <si>
    <t xml:space="preserve">https://www.brydon.com/portfolio</t>
  </si>
  <si>
    <t xml:space="preserve">[2026-08-18 client-register-v1 / P2-038] Veteran-founded operator-led permanent capital. 46 acquisitions as of 2026-03-10. $1-5M EBITDA recurring revenue.</t>
  </si>
  <si>
    <t xml:space="preserve">Trilogy Search Partners</t>
  </si>
  <si>
    <t xml:space="preserve">Mitch Cohen</t>
  </si>
  <si>
    <t xml:space="preserve">Chairman</t>
  </si>
  <si>
    <t xml:space="preserve">Connect with Mitch Cohen, Chairman</t>
  </si>
  <si>
    <t xml:space="preserve">Lead search: "Mitch Cohen" · Current company = "Trilogy Search Partners"</t>
  </si>
  <si>
    <t xml:space="preserve">trilogy-search.com</t>
  </si>
  <si>
    <t xml:space="preserve">ORG-138</t>
  </si>
  <si>
    <t xml:space="preserve">https://trilogy-search.com/team</t>
  </si>
  <si>
    <t xml:space="preserve">[2026-08-18 client-register-v1 / P5-015] Founded 2014; 66 portfolio companies, 18 acquisitions. Second office SF.</t>
  </si>
  <si>
    <t xml:space="preserve">WSC &amp; Company</t>
  </si>
  <si>
    <t xml:space="preserve">Badge Stone</t>
  </si>
  <si>
    <t xml:space="preserve">Connect with Badge Stone, Co-Founder / Partner</t>
  </si>
  <si>
    <t xml:space="preserve">Lead search: "Badge Stone" · Current company = "WSC &amp; Company"</t>
  </si>
  <si>
    <t xml:space="preserve">landscaping</t>
  </si>
  <si>
    <t xml:space="preserve">wscandcompany.com</t>
  </si>
  <si>
    <t xml:space="preserve">ORG-139</t>
  </si>
  <si>
    <t xml:space="preserve">https://wscandcompany.com/</t>
  </si>
  <si>
    <t xml:space="preserve">[2026-08-18 client-register-v1 / P5-016] Business products and services $2-6M EBITDA. Backed Yard Alliance/YardWorks residential landscaping platform.</t>
  </si>
  <si>
    <t xml:space="preserve">Rosewood Private Investments</t>
  </si>
  <si>
    <t xml:space="preserve">Single family office (Caroline Hunt Trust Estate)</t>
  </si>
  <si>
    <t xml:space="preserve">has_both</t>
  </si>
  <si>
    <t xml:space="preserve">Derry Burns</t>
  </si>
  <si>
    <t xml:space="preserve">Director / Managing Director</t>
  </si>
  <si>
    <t xml:space="preserve">Connect with Derry Burns, Director / Managing Director</t>
  </si>
  <si>
    <t xml:space="preserve">Lead search: "Derry Burns" · Current company = "Rosewood Private Investments"</t>
  </si>
  <si>
    <t xml:space="preserve">rosewoodpi.com</t>
  </si>
  <si>
    <t xml:space="preserve">ORG-012</t>
  </si>
  <si>
    <t xml:space="preserve">need 10 (has_both) · lane 3 (dfw unknown, trade miss) · reach 15 · structure 10 (family_office) · activity 5 (no dated deal evidence) · ×0.92 trade press, not their own disclosure</t>
  </si>
  <si>
    <t xml:space="preserve">https://rosewoodpi.com/</t>
  </si>
  <si>
    <t xml:space="preserve">Best combination on the entire board: DFW + beachhead vertical + proven platform + lean team.</t>
  </si>
  <si>
    <t xml:space="preserve">Strait Lane Capital Partners</t>
  </si>
  <si>
    <t xml:space="preserve">Matthew Swift</t>
  </si>
  <si>
    <t xml:space="preserve">Managing Director (per aggregator — VERIFY)</t>
  </si>
  <si>
    <t xml:space="preserve">Connect with Matthew Swift, Managing Director (per aggregator — VERIFY)</t>
  </si>
  <si>
    <t xml:space="preserve">Lead search: "Matthew Swift" · Current company = "Strait Lane Capital Partners"</t>
  </si>
  <si>
    <t xml:space="preserve">straitlanecapital.com</t>
  </si>
  <si>
    <t xml:space="preserve">ORG-050</t>
  </si>
  <si>
    <t xml:space="preserve">https://straitlanecapital.com/</t>
  </si>
  <si>
    <t xml:space="preserve">Surge Private Equity</t>
  </si>
  <si>
    <t xml:space="preserve">Family office / LMM buyout</t>
  </si>
  <si>
    <t xml:space="preserve">Tom Beauchamp, CPA</t>
  </si>
  <si>
    <t xml:space="preserve">Founding Partner</t>
  </si>
  <si>
    <t xml:space="preserve">Connect with Tom Beauchamp, CPA, Founding Partner</t>
  </si>
  <si>
    <t xml:space="preserve">Lead search: "Tom Beauchamp, CPA" · Current company = "Surge Private Equity"</t>
  </si>
  <si>
    <t xml:space="preserve">surgepe.com</t>
  </si>
  <si>
    <t xml:space="preserve">ORG-014</t>
  </si>
  <si>
    <t xml:space="preserve">https://surgepe.com/</t>
  </si>
  <si>
    <t xml:space="preserve">Dallas + active + lean team + clean thesis fit.</t>
  </si>
  <si>
    <t xml:space="preserve">Fire Safety and Protection (FSP)</t>
  </si>
  <si>
    <t xml:space="preserve">Curt Bagnall</t>
  </si>
  <si>
    <t xml:space="preserve">Connect with Curt Bagnall, CEO</t>
  </si>
  <si>
    <t xml:space="preserve">Lead search: "Curt Bagnall" · Current company = "Fire Safety and Protection (FSP)"</t>
  </si>
  <si>
    <t xml:space="preserve">fire_life_safety</t>
  </si>
  <si>
    <t xml:space="preserve">firesp.com</t>
  </si>
  <si>
    <t xml:space="preserve">ORG-111</t>
  </si>
  <si>
    <t xml:space="preserve">need 8 (unknown) · lane 3 (dfw unknown, trade miss) · reach 15 · structure 5 (platform) · activity 8 (19mo since last evidenced deal)</t>
  </si>
  <si>
    <t xml:space="preserve">[2026-08-18 client-register-v1 / P4-020] US/Canada. 8+ acquisitions. Family-office-backed platform - unusual and worth a call.</t>
  </si>
  <si>
    <t xml:space="preserve">Teague Electric</t>
  </si>
  <si>
    <t xml:space="preserve">Lead search: Current company = "Teague Electric" · Seniority = Director/VP/CXO · Title contains: Corporate Development OR M&amp;A OR Acquisitions OR Business Development</t>
  </si>
  <si>
    <t xml:space="preserve">teague.com</t>
  </si>
  <si>
    <t xml:space="preserve">ORG-119</t>
  </si>
  <si>
    <t xml:space="preserve">need 8 (unknown) · lane 13 (dfw unknown, trade match) · reach 5 (no named contact) · structure 5 (platform) · activity 8 (15mo since last evidenced deal)</t>
  </si>
  <si>
    <t xml:space="preserve">[2026-08-18 client-register-v1 / P4-057] KC electrical contractor founded 1978, roll-up platform. Align Collaborate equity.</t>
  </si>
  <si>
    <t xml:space="preserve">CAMCO Investment Group</t>
  </si>
  <si>
    <t xml:space="preserve">Family office / acquirer</t>
  </si>
  <si>
    <t xml:space="preserve">Kyle Campbell</t>
  </si>
  <si>
    <t xml:space="preserve">Founder &amp; President</t>
  </si>
  <si>
    <t xml:space="preserve">Connect with Kyle Campbell, Founder &amp; President</t>
  </si>
  <si>
    <t xml:space="preserve">Lead search: "Kyle Campbell" · Current company = "CAMCO Investment Group"</t>
  </si>
  <si>
    <t xml:space="preserve">camcoig.com</t>
  </si>
  <si>
    <t xml:space="preserve">ORG-020</t>
  </si>
  <si>
    <t xml:space="preserve">need 8 (unknown) · lane 3 (dfw unknown, trade miss) · reach 15 · structure 10 (family_office) · activity 5 (no dated deal evidence) · ×0.92 trade press, not their own disclosure</t>
  </si>
  <si>
    <t xml:space="preserve">https://camcoig.com/</t>
  </si>
  <si>
    <t xml:space="preserve">Foundral</t>
  </si>
  <si>
    <t xml:space="preserve">Lead search: Current company = "Foundral" · Seniority = Director/VP/CXO · Title contains: Corporate Development OR M&amp;A OR Acquisitions OR Business Development</t>
  </si>
  <si>
    <t xml:space="preserve">commercial_hvac|commercial_mep|commercial_plumbing</t>
  </si>
  <si>
    <t xml:space="preserve">ORG-112</t>
  </si>
  <si>
    <t xml:space="preserve">need 8 (unknown) · lane 13 (dfw unknown, trade match) · reach 0 (no named contact) · structure 5 (platform) · activity 12 (8mo since last evidenced deal)</t>
  </si>
  <si>
    <t xml:space="preserve">https://mcnallycapital.com/our-companies</t>
  </si>
  <si>
    <t xml:space="preserve">[2026-08-18 client-register-v1 / P4-023] Union-backed mechanical contracting platform built on Smith &amp; Oby. A. Hattersley &amp; Sons add-on. Family-office-backed. Domain not verified.</t>
  </si>
  <si>
    <t xml:space="preserve">Hersh Family Investments</t>
  </si>
  <si>
    <t xml:space="preserve">Kenneth A. Hersh</t>
  </si>
  <si>
    <t xml:space="preserve">Connect with Kenneth A. Hersh, Chairman</t>
  </si>
  <si>
    <t xml:space="preserve">Lead search: "Kenneth A. Hersh" · Current company = "Hersh Family Investments"</t>
  </si>
  <si>
    <t xml:space="preserve">hershfi.com</t>
  </si>
  <si>
    <t xml:space="preserve">ORG-033</t>
  </si>
  <si>
    <t xml:space="preserve">https://hershfi.com/</t>
  </si>
  <si>
    <t xml:space="preserve">Profile height means a cold approach burns the shot.</t>
  </si>
  <si>
    <t xml:space="preserve">Labora</t>
  </si>
  <si>
    <t xml:space="preserve">Tom Mackie</t>
  </si>
  <si>
    <t xml:space="preserve">Connect with Tom Mackie, Founder</t>
  </si>
  <si>
    <t xml:space="preserve">Lead search: "Tom Mackie" · Current company = "Labora"</t>
  </si>
  <si>
    <t xml:space="preserve">labora.com</t>
  </si>
  <si>
    <t xml:space="preserve">ORG-036</t>
  </si>
  <si>
    <t xml:space="preserve">https://labora.com/</t>
  </si>
  <si>
    <t xml:space="preserve">Oak Legacy Management</t>
  </si>
  <si>
    <t xml:space="preserve">Tom Fenton</t>
  </si>
  <si>
    <t xml:space="preserve">Principal &amp; Founder</t>
  </si>
  <si>
    <t xml:space="preserve">Connect with Tom Fenton, Principal &amp; Founder</t>
  </si>
  <si>
    <t xml:space="preserve">Lead search: "Tom Fenton" · Current company = "Oak Legacy Management"</t>
  </si>
  <si>
    <t xml:space="preserve">oaklegacy-us.com</t>
  </si>
  <si>
    <t xml:space="preserve">ORG-040</t>
  </si>
  <si>
    <t xml:space="preserve">https://oaklegacy-us.com/</t>
  </si>
  <si>
    <t xml:space="preserve">High deal cadence is the qualifying signal.</t>
  </si>
  <si>
    <t xml:space="preserve">Pangea's Edge</t>
  </si>
  <si>
    <t xml:space="preserve">Ken Bowdon</t>
  </si>
  <si>
    <t xml:space="preserve">Founder / Chief Executive Officer</t>
  </si>
  <si>
    <t xml:space="preserve">Connect with Ken Bowdon, Founder / Chief Executive Officer</t>
  </si>
  <si>
    <t xml:space="preserve">Lead search: "Ken Bowdon" · Current company = "Pangea's Edge"</t>
  </si>
  <si>
    <t xml:space="preserve">pangeasedge.com</t>
  </si>
  <si>
    <t xml:space="preserve">ORG-042</t>
  </si>
  <si>
    <t xml:space="preserve">https://pangeasedge.com/</t>
  </si>
  <si>
    <t xml:space="preserve">Regency Electric</t>
  </si>
  <si>
    <t xml:space="preserve">Lead search: Current company = "Regency Electric" · Seniority = Director/VP/CXO · Title contains: Corporate Development OR M&amp;A OR Acquisitions OR Business Development</t>
  </si>
  <si>
    <t xml:space="preserve">commercial_electrical</t>
  </si>
  <si>
    <t xml:space="preserve">ORG-117</t>
  </si>
  <si>
    <t xml:space="preserve">[2026-08-18 client-register-v1 / P4-049] Denver commercial electrical founded 1986. Seifried family retained equity. Domain not verified.</t>
  </si>
  <si>
    <t xml:space="preserve">Alpine Investors</t>
  </si>
  <si>
    <t xml:space="preserve">Lead search: Current company = "Alpine Investors" · Seniority = Director/VP/CXO · Title contains: Corporate Development OR M&amp;A OR Acquisitions OR Business Development</t>
  </si>
  <si>
    <t xml:space="preserve">residential_hvac|residential_plumbing|residential_electrical|roofing|commercial_hvac</t>
  </si>
  <si>
    <t xml:space="preserve">alpine-investors.com</t>
  </si>
  <si>
    <t xml:space="preserve">ORG-084</t>
  </si>
  <si>
    <t xml:space="preserve">need 8 (unknown) · lane 13 (dfw unknown, trade match) · reach 5 (no named contact) · structure 3 (pe_fund) · activity 8 (19mo since last evidenced deal)</t>
  </si>
  <si>
    <t xml:space="preserve">[2026-08-18 client-register-v1 / P1-004] Most active HVAC sponsor. Backs Apex, Vertex, Astra/Orion. Offices SF/NY/Austin.</t>
  </si>
  <si>
    <t xml:space="preserve">Goldman Sachs Alternatives</t>
  </si>
  <si>
    <t xml:space="preserve">Lead search: Current company = "Goldman Sachs Alternatives" · Seniority = Director/VP/CXO · Title contains: Corporate Development OR M&amp;A OR Acquisitions OR Business Development</t>
  </si>
  <si>
    <t xml:space="preserve">goldmansachs.com</t>
  </si>
  <si>
    <t xml:space="preserve">ORG-086</t>
  </si>
  <si>
    <t xml:space="preserve">need 8 (unknown) · lane 13 (dfw unknown, trade match) · reach 5 (no named contact) · structure 3 (pe_fund) · activity 8 (21mo since last evidenced deal)</t>
  </si>
  <si>
    <t xml:space="preserve">[2026-08-18 client-register-v1 / P1-022] Nov 2024 majority recap of Sila from Morgan Stanley Capital Partners; reported ~$1.7B / ~17x.</t>
  </si>
  <si>
    <t xml:space="preserve">TechServ</t>
  </si>
  <si>
    <t xml:space="preserve">Lead search: Current company = "TechServ" · Seniority = Director/VP/CXO · Title contains: Corporate Development OR M&amp;A OR Acquisitions OR Business Development</t>
  </si>
  <si>
    <t xml:space="preserve">ORG-120</t>
  </si>
  <si>
    <t xml:space="preserve">need 8 (unknown) · lane 15 (dfw yes, trade miss) · reach 0 (no named contact) · structure 5 (platform) · activity 8 (14mo since last evidenced deal)</t>
  </si>
  <si>
    <t xml:space="preserve">https://www.bernhardcapital.com/</t>
  </si>
  <si>
    <t xml:space="preserve">[2026-08-18 client-register-v1 / P4-058] Utility engineering platform, 850+ employees, 21 states. Platform acquired Jun 2025, NO disclosed add-ons since - visible pipeline gap. Domain not verified.</t>
  </si>
  <si>
    <t xml:space="preserve">D</t>
  </si>
  <si>
    <t xml:space="preserve">Eastern Exterior Partners</t>
  </si>
  <si>
    <t xml:space="preserve">Lead search: Current company = "Eastern Exterior Partners" · Seniority = Director/VP/CXO · Title contains: Corporate Development OR M&amp;A OR Acquisitions OR Business Development</t>
  </si>
  <si>
    <t xml:space="preserve">ORG-109</t>
  </si>
  <si>
    <t xml:space="preserve">need 8 (unknown) · lane 13 (dfw unknown, trade match) · reach 0 (no named contact) · structure 5 (platform) · activity 8 (14mo since last evidenced deal)</t>
  </si>
  <si>
    <t xml:space="preserve">[2026-08-18 client-register-v1 / P4-016] Residential roofing platform launched on Perry's Roofing Jun 2025. Domain not verified.</t>
  </si>
  <si>
    <t xml:space="preserve">Genesis Park / GP Capital Partners</t>
  </si>
  <si>
    <t xml:space="preserve">SBIC — debt and equity</t>
  </si>
  <si>
    <t xml:space="preserve">Curtis Hartman</t>
  </si>
  <si>
    <t xml:space="preserve">Managing Partner / Principal</t>
  </si>
  <si>
    <t xml:space="preserve">Connect with Curtis Hartman, Managing Partner / Principal</t>
  </si>
  <si>
    <t xml:space="preserve">Lead search: "Curtis Hartman" · Current company = "Genesis Park / GP Capital Partners"</t>
  </si>
  <si>
    <t xml:space="preserve">genesis-park.com</t>
  </si>
  <si>
    <t xml:space="preserve">ORG-008</t>
  </si>
  <si>
    <t xml:space="preserve">need 10 (has_both) · lane 3 (dfw unknown, trade miss) · reach 15 · structure 4 (unknown) · activity 5 (no dated deal evidence) · ×0.92 trade press, not their own disclosure</t>
  </si>
  <si>
    <t xml:space="preserve">https://www.sba.gov/</t>
  </si>
  <si>
    <t xml:space="preserve">Only Tier A target with a published direct email and phone. Does BOTH debt and equity — dual-purpose relationship.</t>
  </si>
  <si>
    <t xml:space="preserve">L Squared Capital Partners</t>
  </si>
  <si>
    <t xml:space="preserve">Lead search: Current company = "L Squared Capital Partners" · Seniority = Director/VP/CXO · Title contains: Corporate Development OR M&amp;A OR Acquisitions OR Business Development</t>
  </si>
  <si>
    <t xml:space="preserve">building_automation</t>
  </si>
  <si>
    <t xml:space="preserve">lsquaredcap.com</t>
  </si>
  <si>
    <t xml:space="preserve">ORG-091</t>
  </si>
  <si>
    <t xml:space="preserve">need 8 (unknown) · lane 3 (dfw unknown, trade miss) · reach 5 (no named contact) · structure 3 (pe_fund) · activity 15 (5mo since last evidenced deal)</t>
  </si>
  <si>
    <t xml:space="preserve">https://www.businesswire.com/news/home/20260224862543/en/</t>
  </si>
  <si>
    <t xml:space="preserve">[2026-08-18 client-register-v1 / P1-036] Functional Devices (building automation controls). Actively pursuing add-ons.</t>
  </si>
  <si>
    <t xml:space="preserve">A.G. Hill Partners</t>
  </si>
  <si>
    <t xml:space="preserve">Single family office (H.L. Hunt descendants)</t>
  </si>
  <si>
    <t xml:space="preserve">Joseph O'Brien</t>
  </si>
  <si>
    <t xml:space="preserve">President &amp; Chief Executive Officer</t>
  </si>
  <si>
    <t xml:space="preserve">Connect with Joseph O'Brien, President &amp; Chief Executive Officer</t>
  </si>
  <si>
    <t xml:space="preserve">Lead search: "Joseph O'Brien" · Current company = "A.G. Hill Partners"</t>
  </si>
  <si>
    <t xml:space="preserve">ORG-018</t>
  </si>
  <si>
    <t xml:space="preserve">need 8 (unknown) · lane 3 (dfw unknown, trade miss) · reach 10 · structure 10 (family_office) · activity 5 (no dated deal evidence) · ×0.92 trade press, not their own disclosure</t>
  </si>
  <si>
    <t xml:space="preserve">https://praxisrock.com/resources/investors/family-offices-dallas</t>
  </si>
  <si>
    <t xml:space="preserve">Highview Capital</t>
  </si>
  <si>
    <t xml:space="preserve">Lead search: Current company = "Highview Capital" · Seniority = Director/VP/CXO · Title contains: Corporate Development OR M&amp;A OR Acquisitions OR Business Development</t>
  </si>
  <si>
    <t xml:space="preserve">highviewcapital.com</t>
  </si>
  <si>
    <t xml:space="preserve">ORG-088</t>
  </si>
  <si>
    <t xml:space="preserve">need 8 (unknown) · lane 3 (dfw unknown, trade miss) · reach 5 (no named contact) · structure 3 (pe_fund) · activity 12 (12mo since last evidenced deal)</t>
  </si>
  <si>
    <t xml:space="preserve">https://highviewcapital.com/portfolio/national-fire-safety/</t>
  </si>
  <si>
    <t xml:space="preserve">[2026-08-18 client-register-v1 / P1-029] National Fire &amp; Safety (7 Western states).</t>
  </si>
  <si>
    <t xml:space="preserve">Hoban Family Office</t>
  </si>
  <si>
    <t xml:space="preserve">Lead search: Current company = "Hoban Family Office" · Seniority = Director/VP/CXO · Title contains: Corporate Development OR M&amp;A OR Acquisitions OR Business Development</t>
  </si>
  <si>
    <t xml:space="preserve">hobanfamilyoffice.com</t>
  </si>
  <si>
    <t xml:space="preserve">ORG-098</t>
  </si>
  <si>
    <t xml:space="preserve">need 8 (unknown) · lane 3 (dfw unknown, trade miss) · reach 5 (no named contact) · structure 10 (family_office) · activity 5 (no dated deal evidence)</t>
  </si>
  <si>
    <t xml:space="preserve">https://hobanfamilyoffice.com/direct-investments/</t>
  </si>
  <si>
    <t xml:space="preserve">[2026-08-18 client-register-v1 / P2-014] SFO with direct-investment mandate: RE, operating businesses, PE/angel.</t>
  </si>
  <si>
    <t xml:space="preserve">National Fire &amp; Safety (Highview Capital)</t>
  </si>
  <si>
    <t xml:space="preserve">Chris Gannon</t>
  </si>
  <si>
    <t xml:space="preserve">Connect with Chris Gannon, Chief Executive Officer</t>
  </si>
  <si>
    <t xml:space="preserve">Lead search: "Chris Gannon" · Current company = "National Fire &amp; Safety (Highview Capital)"</t>
  </si>
  <si>
    <t xml:space="preserve">ORG-039</t>
  </si>
  <si>
    <t xml:space="preserve">need 8 (unknown) · lane 3 (dfw unknown, trade miss) · reach 10 · structure 5 (platform) · activity 5 (no dated deal evidence)</t>
  </si>
  <si>
    <t xml:space="preserve">Beachhead vertical + proven DFW appetite. | prior source_url (2026-08-18): https://highviewcap.com/ | [2026-08-18 client-register-v1 / P4-035] 7 Western states. Frontier Fire Protection (Aug 2025), Elite FPS, RCI Systems. HQ and domain not verified.</t>
  </si>
  <si>
    <t xml:space="preserve">Gupta Capital Group</t>
  </si>
  <si>
    <t xml:space="preserve">Lead search: Current company = "Gupta Capital Group" · Seniority = Director/VP/CXO · Title contains: Corporate Development OR M&amp;A OR Acquisitions OR Business Development</t>
  </si>
  <si>
    <t xml:space="preserve">guptacapitalgroup.com</t>
  </si>
  <si>
    <t xml:space="preserve">ORG-070</t>
  </si>
  <si>
    <t xml:space="preserve">need 8 (unknown) · lane 3 (dfw unknown, trade miss) · reach 5 (no named contact) · structure 10 (family_office) · activity 5 (no dated deal evidence) · ×0.92 trade press, not their own disclosure</t>
  </si>
  <si>
    <t xml:space="preserve">https://guptacapitalgroup.com/</t>
  </si>
  <si>
    <t xml:space="preserve">Columbia Home Services</t>
  </si>
  <si>
    <t xml:space="preserve">Operator-acquirer, PE-backed</t>
  </si>
  <si>
    <t xml:space="preserve">Paul Adams</t>
  </si>
  <si>
    <t xml:space="preserve">Founder &amp; Executive Chairman (fmr CEO)</t>
  </si>
  <si>
    <t xml:space="preserve">Connect with Paul Adams, Founder &amp; Executive Chairman (fmr CEO)</t>
  </si>
  <si>
    <t xml:space="preserve">Lead search: "Paul Adams" · Current company = "Columbia Home Services"</t>
  </si>
  <si>
    <t xml:space="preserve">ORG-007</t>
  </si>
  <si>
    <t xml:space="preserve">need 8 (unknown) · lane 3 (dfw unknown, trade miss) · reach 10 · structure 4 (unknown) · activity 5 (no dated deal evidence) · ×0.92 trade press, not their own disclosure</t>
  </si>
  <si>
    <t xml:space="preserve">https://www.smartbusinessdealmakers.com/dallas/event/speakers/paul-adams/</t>
  </si>
  <si>
    <t xml:space="preserve">PE-backed, so qualify whether Tenex supplies origination before pitching depth of engagement.</t>
  </si>
  <si>
    <t xml:space="preserve">Palo Duro Capital</t>
  </si>
  <si>
    <t xml:space="preserve">LMM PE</t>
  </si>
  <si>
    <t xml:space="preserve">Lead search: Current company = "Palo Duro Capital" · Seniority = Director/VP/CXO · Title contains: Corporate Development OR M&amp;A OR Acquisitions OR Business Development</t>
  </si>
  <si>
    <t xml:space="preserve">palodurocapital.com</t>
  </si>
  <si>
    <t xml:space="preserve">ORG-041</t>
  </si>
  <si>
    <t xml:space="preserve">need 10 (has_both) · lane 3 (dfw unknown, trade miss) · reach 5 (no named contact) · structure 4 (unknown) · activity 5 (no dated deal evidence) · ×0.92 trade press, not their own disclosure</t>
  </si>
  <si>
    <t xml:space="preserve">https://palodurocapital.com/</t>
  </si>
  <si>
    <t xml:space="preserve">AEC Equities, Inc.</t>
  </si>
  <si>
    <t xml:space="preserve">Lead search: Current company = "AEC Equities, Inc." · Seniority = Director/VP/CXO · Title contains: Corporate Development OR M&amp;A OR Acquisitions OR Business Development</t>
  </si>
  <si>
    <t xml:space="preserve">ORG-054</t>
  </si>
  <si>
    <t xml:space="preserve">need 8 (unknown) · lane 3 (dfw unknown, trade miss) · reach 0 (no named contact) · structure 10 (independent_sponsor) · activity 5 (no dated deal evidence) · ×0.92 trade press, not their own disclosure</t>
  </si>
  <si>
    <t xml:space="preserve">Lynch Holdings</t>
  </si>
  <si>
    <t xml:space="preserve">Lead search: Current company = "Lynch Holdings" · Seniority = Director/VP/CXO · Title contains: Corporate Development OR M&amp;A OR Acquisitions OR Business Development</t>
  </si>
  <si>
    <t xml:space="preserve">ORG-038</t>
  </si>
  <si>
    <t xml:space="preserve">need 8 (unknown) · lane 3 (dfw unknown, trade miss) · reach 0 (no named contact) · structure 10 (family_office) · activity 5 (no dated deal evidence) · ×0.92 trade press, not their own disclosure</t>
  </si>
  <si>
    <t xml:space="preserve">Beachhead vertical match. Highest-value name-resolution task in the research queue.</t>
  </si>
  <si>
    <t xml:space="preserve">Sky Island Capital</t>
  </si>
  <si>
    <t xml:space="preserve">Lead search: Current company = "Sky Island Capital" · Seniority = Director/VP/CXO · Title contains: Corporate Development OR M&amp;A OR Acquisitions OR Business Development</t>
  </si>
  <si>
    <t xml:space="preserve">ORG-049</t>
  </si>
  <si>
    <t xml:space="preserve">need 10 (has_both) · lane 3 (dfw unknown, trade miss) · reach 0 (no named contact) · structure 4 (unknown) · activity 5 (no dated deal evidence) · ×0.92 trade press, not their own disclosure</t>
  </si>
  <si>
    <t xml:space="preserve">Manufacturing focus is off-beachhead.</t>
  </si>
  <si>
    <t xml:space="preserve">Dauntless Capital Partners</t>
  </si>
  <si>
    <t xml:space="preserve">Lead search: Current company = "Dauntless Capital Partners" · Seniority = Director/VP/CXO · Title contains: Corporate Development OR M&amp;A OR Acquisitions OR Business Development</t>
  </si>
  <si>
    <t xml:space="preserve">ORG-024</t>
  </si>
  <si>
    <t xml:space="preserve">need 8 (unknown) · lane 3 (dfw unknown, trade miss) · reach 0 (no named contact) · structure 4 (unknown) · activity 5 (no dated deal evidence) · ×0.92 trade press, not their own disclosure</t>
  </si>
  <si>
    <t xml:space="preserve">UrbanBuild (Bauer Investments)</t>
  </si>
  <si>
    <t xml:space="preserve">Lead search: Current company = "UrbanBuild (Bauer Investments)" · Seniority = Director/VP/CXO · Title contains: Corporate Development OR M&amp;A OR Acquisitions OR Business Development</t>
  </si>
  <si>
    <t xml:space="preserve">ORG-052</t>
  </si>
  <si>
    <t xml:space="preserve">need 8 (unknown) · lane 3 (dfw unknown, trade miss) · reach 0 (no named contact) · structure 4 (unknown) · activity 5 (no dated deal evidence) · ×0.80 directory only — verify before acting</t>
  </si>
  <si>
    <t xml:space="preserve">Do NOT message until the individual is confirmed.</t>
  </si>
  <si>
    <t xml:space="preserve">Corp-dev buyer board</t>
  </si>
  <si>
    <t xml:space="preserve">2026-08-18 · smbX.ai</t>
  </si>
  <si>
    <t xml:space="preserve">Scored by house/leads.ts — the practice's own model, run unmodified. Not a second scorer.</t>
  </si>
  <si>
    <t xml:space="preserve">COUNTS</t>
  </si>
  <si>
    <t xml:space="preserve">Rows scored</t>
  </si>
  <si>
    <t xml:space="preserve">Tier B</t>
  </si>
  <si>
    <t xml:space="preserve">Tier C</t>
  </si>
  <si>
    <t xml:space="preserve">Tier D</t>
  </si>
  <si>
    <t xml:space="preserve">Named contact already</t>
  </si>
  <si>
    <t xml:space="preserve">thesis_no_flow (the sale)</t>
  </si>
  <si>
    <t xml:space="preserve">has_both (hardest sale)</t>
  </si>
  <si>
    <t xml:space="preserve">unknown buy signal</t>
  </si>
  <si>
    <t xml:space="preserve">THE MODEL</t>
  </si>
  <si>
    <t xml:space="preserve">need 35</t>
  </si>
  <si>
    <t xml:space="preserve">buyer_moment. thesis_no_flow = declared a thesis, cannot fill it. THAT is the sale. has_both scores 10, not 35 — a buyer with the function in-house is the hardest sale on the list, not the best lead.</t>
  </si>
  <si>
    <t xml:space="preserve">lane 25</t>
  </si>
  <si>
    <t xml:space="preserve">Texas/DFW exposure (15) + a trade we have a verified master for (10).</t>
  </si>
  <si>
    <t xml:space="preserve">reach 15</t>
  </si>
  <si>
    <t xml:space="preserve">Named contact 8 + title 2 + domain 5. Can a conversation start today?</t>
  </si>
  <si>
    <t xml:space="preserve">structure 10</t>
  </si>
  <si>
    <t xml:space="preserve">How little corp-dev bench they already carry. Independent sponsor and family office score 10; a PE fund with a team scores 3.</t>
  </si>
  <si>
    <t xml:space="preserve">activity 15</t>
  </si>
  <si>
    <t xml:space="preserve">Months since a dated deal. Absent is 5 — neutral-low, not zero and not full marks, so a missing date shifts no row relative to another.</t>
  </si>
  <si>
    <t xml:space="preserve">× confidence</t>
  </si>
  <si>
    <t xml:space="preserve">VERIFIED → ×1.00. Unverified with a source → ×0.92. No source → ×0.80. Evidence quality DISCOUNTS; it never boosts.</t>
  </si>
  <si>
    <t xml:space="preserve">READ THIS BEFORE TRUSTING THE ORDER</t>
  </si>
  <si>
    <t xml:space="preserve">72 of 93 score "unknown"</t>
  </si>
  <si>
    <t xml:space="preserve">buyer_moment is the single biggest weight and it is UNKNOWN on 77% of the board. Every one of the 60 rows that came from the new 225-row file is unknown, because that file has no internal_corpdev column. All 15 thesis_no_flow rows come from the ORIGINAL 81 — that is where the human judgment lives.</t>
  </si>
  <si>
    <t xml:space="preserve">The signal is DERIVED, not researched</t>
  </si>
  <si>
    <t xml:space="preserve">buyer_moment is computed from the recorded internal_corpdev field, never from reading the notes: a stated bench → has_both; a stated absence + evidence of a thesis → thesis_no_flow; blank → unknown. It is a rule over a field, and it is reviewable. It is not research.</t>
  </si>
  <si>
    <t xml:space="preserve">It ranks fit, not whether they are real</t>
  </si>
  <si>
    <t xml:space="preserve">leads.ts says so itself. No column records whether a firm has ever closed a deal. A polished site with zero acquisitions scores like an active buyer. The Notes column is load-bearing — read it before you send anything.</t>
  </si>
  <si>
    <t xml:space="preserve">30 rows carry no domain</t>
  </si>
  <si>
    <t xml:space="preserve">Flagged. The LinkedIn query still works on the firm name, but confirm you have the right company before connecting.</t>
  </si>
  <si>
    <t xml:space="preserve">One row has no name</t>
  </si>
  <si>
    <t xml:space="preserve">"Texas HVAC services platform (name undisclosed)" ranks 18. There is no company to search — go via the named person.</t>
  </si>
  <si>
    <t xml:space="preserve">WHO IS NOT HERE</t>
  </si>
  <si>
    <t xml:space="preserve">35 referral sources</t>
  </si>
  <si>
    <t xml:space="preserve">Attorneys, accountants, lenders, bankers. They do not buy corp dev — they introduce people who do. Separate tab.</t>
  </si>
  <si>
    <t xml:space="preserve">11 do-not-pitch</t>
  </si>
  <si>
    <t xml:space="preserve">bucket = ECOSYSTEM_DO_NOT_PITCH. Competitive context, not prospects.</t>
  </si>
  <si>
    <t xml:space="preserve">161 unverified candidates</t>
  </si>
  <si>
    <t xml:space="preserve">clients/candidates.csv. DISCOVERY grade — not primary-source verified, so barred from the register. Verify tier 1 + Texas first: 10 rows.</t>
  </si>
  <si>
    <t xml:space="preserve">firm</t>
  </si>
  <si>
    <t xml:space="preserve">firm_type</t>
  </si>
  <si>
    <t xml:space="preserve">segment</t>
  </si>
  <si>
    <t xml:space="preserve">tier</t>
  </si>
  <si>
    <t xml:space="preserve">city</t>
  </si>
  <si>
    <t xml:space="preserve">state</t>
  </si>
  <si>
    <t xml:space="preserve">website</t>
  </si>
  <si>
    <t xml:space="preserve">source_url</t>
  </si>
  <si>
    <t xml:space="preserve">ORG-001</t>
  </si>
  <si>
    <t xml:space="preserve">414 Capital</t>
  </si>
  <si>
    <t xml:space="preserve">Investment bank</t>
  </si>
  <si>
    <t xml:space="preserve">REFERRAL_BANKING</t>
  </si>
  <si>
    <t xml:space="preserve">A</t>
  </si>
  <si>
    <t xml:space="preserve">Dallas</t>
  </si>
  <si>
    <t xml:space="preserve">TX</t>
  </si>
  <si>
    <t xml:space="preserve">https://www.acg.org/dfw</t>
  </si>
  <si>
    <t xml:space="preserve">ORG-002</t>
  </si>
  <si>
    <t xml:space="preserve">Align Collaborate</t>
  </si>
  <si>
    <t xml:space="preserve">Independent-sponsor equity capital</t>
  </si>
  <si>
    <t xml:space="preserve">CAPITAL_EQUITY</t>
  </si>
  <si>
    <t xml:space="preserve">aligncollaborate.com</t>
  </si>
  <si>
    <t xml:space="preserve">https://aligncollaborate.com/news/align-collaborate-supports-ix-capital-partners-with-growth-investment-in-teague-electric/</t>
  </si>
  <si>
    <t xml:space="preserve">ORG-003</t>
  </si>
  <si>
    <t xml:space="preserve">Bell Nunnally</t>
  </si>
  <si>
    <t xml:space="preserve">M&amp;A law firm / association leadership</t>
  </si>
  <si>
    <t xml:space="preserve">REFERRAL_LEGAL</t>
  </si>
  <si>
    <t xml:space="preserve">bellnunnally.com</t>
  </si>
  <si>
    <t xml:space="preserve">ORG-005</t>
  </si>
  <si>
    <t xml:space="preserve">Bulkley Capital</t>
  </si>
  <si>
    <t xml:space="preserve">LMM investment bank</t>
  </si>
  <si>
    <t xml:space="preserve">ORG-006</t>
  </si>
  <si>
    <t xml:space="preserve">Capital Southwest (NASDAQ: CSWC)</t>
  </si>
  <si>
    <t xml:space="preserve">Internally-managed BDC / 2 SBIC licenses</t>
  </si>
  <si>
    <t xml:space="preserve">CAPITAL_DEBT</t>
  </si>
  <si>
    <t xml:space="preserve">capitalsouthwest.com</t>
  </si>
  <si>
    <t xml:space="preserve">https://www.capitalsouthwest.com/</t>
  </si>
  <si>
    <t xml:space="preserve">ORG-010</t>
  </si>
  <si>
    <t xml:space="preserve">Main Street Capital (NYSE: MAIN)</t>
  </si>
  <si>
    <t xml:space="preserve">BDC — one-stop LMM debt + equity</t>
  </si>
  <si>
    <t xml:space="preserve">Houston</t>
  </si>
  <si>
    <t xml:space="preserve">mainstcapital.com</t>
  </si>
  <si>
    <t xml:space="preserve">https://www.mainstcapital.com/team/executive-committee</t>
  </si>
  <si>
    <t xml:space="preserve">ORG-011</t>
  </si>
  <si>
    <t xml:space="preserve">Monroe Capital</t>
  </si>
  <si>
    <t xml:space="preserve">Senior / unitranche private credit</t>
  </si>
  <si>
    <t xml:space="preserve">Chicago</t>
  </si>
  <si>
    <t xml:space="preserve">IL</t>
  </si>
  <si>
    <t xml:space="preserve">monroecap.com</t>
  </si>
  <si>
    <t xml:space="preserve">https://monroecap.com/financing-solutions/</t>
  </si>
  <si>
    <t xml:space="preserve">ORG-017</t>
  </si>
  <si>
    <t xml:space="preserve">Weil Gotshal</t>
  </si>
  <si>
    <t xml:space="preserve">PE law firm / family office network node</t>
  </si>
  <si>
    <t xml:space="preserve">weil.com</t>
  </si>
  <si>
    <t xml:space="preserve">ORG-019</t>
  </si>
  <si>
    <t xml:space="preserve">A.R.I. (Applied Real Intelligence) Senior Secured Growth Credit Fund</t>
  </si>
  <si>
    <t xml:space="preserve">Private credit — senior secured term loans</t>
  </si>
  <si>
    <t xml:space="preserve">ORG-021</t>
  </si>
  <si>
    <t xml:space="preserve">Calvetti Ferguson (now Cherry Bekaert)</t>
  </si>
  <si>
    <t xml:space="preserve">QofE / transaction advisory</t>
  </si>
  <si>
    <t xml:space="preserve">REFERRAL_ACCOUNTING</t>
  </si>
  <si>
    <t xml:space="preserve">Houston / Dallas / Fort Worth</t>
  </si>
  <si>
    <t xml:space="preserve">cbh.com</t>
  </si>
  <si>
    <t xml:space="preserve">https://calvettiferguson.com/services/quality-of-earnings/</t>
  </si>
  <si>
    <t xml:space="preserve">ORG-022</t>
  </si>
  <si>
    <t xml:space="preserve">CapitalPad</t>
  </si>
  <si>
    <t xml:space="preserve">Independent-sponsor co-investment aggregator</t>
  </si>
  <si>
    <t xml:space="preserve">Austin</t>
  </si>
  <si>
    <t xml:space="preserve">capitalpad.com</t>
  </si>
  <si>
    <t xml:space="preserve">https://capitalpad.com/</t>
  </si>
  <si>
    <t xml:space="preserve">ORG-023</t>
  </si>
  <si>
    <t xml:space="preserve">Cherry Bekaert</t>
  </si>
  <si>
    <t xml:space="preserve">Transaction advisory</t>
  </si>
  <si>
    <t xml:space="preserve">https://www.cbh.com/</t>
  </si>
  <si>
    <t xml:space="preserve">ORG-025</t>
  </si>
  <si>
    <t xml:space="preserve">Engage PEO</t>
  </si>
  <si>
    <t xml:space="preserve">Services</t>
  </si>
  <si>
    <t xml:space="preserve">ORG-026</t>
  </si>
  <si>
    <t xml:space="preserve">First Citizens Bank</t>
  </si>
  <si>
    <t xml:space="preserve">Lender</t>
  </si>
  <si>
    <t xml:space="preserve">ORG-028</t>
  </si>
  <si>
    <t xml:space="preserve">Forvis Mazars US</t>
  </si>
  <si>
    <t xml:space="preserve">Accounting / transaction advisory</t>
  </si>
  <si>
    <t xml:space="preserve">ORG-030</t>
  </si>
  <si>
    <t xml:space="preserve">Gulf Coast Small Business Lending (Gulf Coast Bank &amp; Trust)</t>
  </si>
  <si>
    <t xml:space="preserve">SBA 7(a) national PLP</t>
  </si>
  <si>
    <t xml:space="preserve">CAPITAL_SBA</t>
  </si>
  <si>
    <t xml:space="preserve">gulfcoastsba.com</t>
  </si>
  <si>
    <t xml:space="preserve">https://gulfcoastsba.com/</t>
  </si>
  <si>
    <t xml:space="preserve">ORG-031</t>
  </si>
  <si>
    <t xml:space="preserve">Hancock Whitney</t>
  </si>
  <si>
    <t xml:space="preserve">ORG-034</t>
  </si>
  <si>
    <t xml:space="preserve">HighVista Strategies</t>
  </si>
  <si>
    <t xml:space="preserve">Emerging-manager / deal-by-deal sponsor backer</t>
  </si>
  <si>
    <t xml:space="preserve">Boston</t>
  </si>
  <si>
    <t xml:space="preserve">MA</t>
  </si>
  <si>
    <t xml:space="preserve">https://www.themiddlemarket.com/</t>
  </si>
  <si>
    <t xml:space="preserve">ORG-035</t>
  </si>
  <si>
    <t xml:space="preserve">Institute of Global Competitiveness</t>
  </si>
  <si>
    <t xml:space="preserve">PE network</t>
  </si>
  <si>
    <t xml:space="preserve">ORG-037</t>
  </si>
  <si>
    <t xml:space="preserve">Live Oak Bank (NASDAQ: LOB)</t>
  </si>
  <si>
    <t xml:space="preserve">SBA 7(a) lender — #1 by dollar FY2025</t>
  </si>
  <si>
    <t xml:space="preserve">Wilmington</t>
  </si>
  <si>
    <t xml:space="preserve">NC</t>
  </si>
  <si>
    <t xml:space="preserve">ORG-043</t>
  </si>
  <si>
    <t xml:space="preserve">Peninsula Capital Partners</t>
  </si>
  <si>
    <t xml:space="preserve">Junior debt + structured equity</t>
  </si>
  <si>
    <t xml:space="preserve">Southfield</t>
  </si>
  <si>
    <t xml:space="preserve">MI</t>
  </si>
  <si>
    <t xml:space="preserve">peninsulafunds.com</t>
  </si>
  <si>
    <t xml:space="preserve">https://peninsulafunds.com/</t>
  </si>
  <si>
    <t xml:space="preserve">ORG-044</t>
  </si>
  <si>
    <t xml:space="preserve">Plexus Capital</t>
  </si>
  <si>
    <t xml:space="preserve">Structured debt + equity co-invest</t>
  </si>
  <si>
    <t xml:space="preserve">Raleigh / Charlotte</t>
  </si>
  <si>
    <t xml:space="preserve">plexuscap.com</t>
  </si>
  <si>
    <t xml:space="preserve">https://plexuscap.com/company/century-mechanical/</t>
  </si>
  <si>
    <t xml:space="preserve">ORG-045</t>
  </si>
  <si>
    <t xml:space="preserve">RSM</t>
  </si>
  <si>
    <t xml:space="preserve">ORG-047</t>
  </si>
  <si>
    <t xml:space="preserve">SeatonHill Partners</t>
  </si>
  <si>
    <t xml:space="preserve">Fractional CFO</t>
  </si>
  <si>
    <t xml:space="preserve">Fort Worth</t>
  </si>
  <si>
    <t xml:space="preserve">ORG-051</t>
  </si>
  <si>
    <t xml:space="preserve">Sunflower Bank</t>
  </si>
  <si>
    <t xml:space="preserve">ORG-053</t>
  </si>
  <si>
    <t xml:space="preserve">Whitley Penn</t>
  </si>
  <si>
    <t xml:space="preserve">Accounting / deal advisory</t>
  </si>
  <si>
    <t xml:space="preserve">whitleypenn.com</t>
  </si>
  <si>
    <t xml:space="preserve">https://www.whitleypenn.com/</t>
  </si>
  <si>
    <t xml:space="preserve">ORG-058</t>
  </si>
  <si>
    <t xml:space="preserve">Bernstein Private Wealth Management, Dallas</t>
  </si>
  <si>
    <t xml:space="preserve">Wealth management</t>
  </si>
  <si>
    <t xml:space="preserve">REFERRAL_WEALTH</t>
  </si>
  <si>
    <t xml:space="preserve">ORG-060</t>
  </si>
  <si>
    <t xml:space="preserve">Byline Bank</t>
  </si>
  <si>
    <t xml:space="preserve">SBA 7(a) lender + sponsor senior cash-flow finance</t>
  </si>
  <si>
    <t xml:space="preserve">ORG-061</t>
  </si>
  <si>
    <t xml:space="preserve">CBIZ</t>
  </si>
  <si>
    <t xml:space="preserve">Accounting</t>
  </si>
  <si>
    <t xml:space="preserve">ORG-062</t>
  </si>
  <si>
    <t xml:space="preserve">CIBC Bank USA</t>
  </si>
  <si>
    <t xml:space="preserve">ORG-068</t>
  </si>
  <si>
    <t xml:space="preserve">Farlie Turner &amp; Co</t>
  </si>
  <si>
    <t xml:space="preserve">ORG-069</t>
  </si>
  <si>
    <t xml:space="preserve">Ferghana Investment Partners</t>
  </si>
  <si>
    <t xml:space="preserve">Investor</t>
  </si>
  <si>
    <t xml:space="preserve">ORG-071</t>
  </si>
  <si>
    <t xml:space="preserve">Huntington National Bank (NASDAQ: HBAN)</t>
  </si>
  <si>
    <t xml:space="preserve">SBA 7(a) lender — #1 by loan count FY2025</t>
  </si>
  <si>
    <t xml:space="preserve">Columbus</t>
  </si>
  <si>
    <t xml:space="preserve">OH</t>
  </si>
  <si>
    <t xml:space="preserve">ORG-079</t>
  </si>
  <si>
    <t xml:space="preserve">Star Mountain Capital</t>
  </si>
  <si>
    <t xml:space="preserve">Direct credit + structured equity, SBIC heritage</t>
  </si>
  <si>
    <t xml:space="preserve">New York</t>
  </si>
  <si>
    <t xml:space="preserve">NY</t>
  </si>
  <si>
    <t xml:space="preserve">starmountaincapital.com</t>
  </si>
  <si>
    <t xml:space="preserve">https://starmountaincapital.com/team/brett-hickey/</t>
  </si>
  <si>
    <t xml:space="preserve">ORG-080</t>
  </si>
  <si>
    <t xml:space="preserve">TPG Twin Brook Capital Partners</t>
  </si>
  <si>
    <t xml:space="preserve">Senior debt, sponsor-led</t>
  </si>
  <si>
    <t xml:space="preserve">twincp.com</t>
  </si>
  <si>
    <t xml:space="preserve">https://twincp.com/team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</si>
</sst>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B6B3A"/>
      <name val="Arial"/>
      <family val="0"/>
      <charset val="1"/>
    </font>
    <font>
      <sz val="10"/>
      <color rgb="FF8A2B2B"/>
      <name val="Arial"/>
      <family val="0"/>
      <charset val="1"/>
    </font>
    <font>
      <b val="true"/>
      <sz val="10"/>
      <color rgb="FF8A6D1F"/>
      <name val="Arial"/>
      <family val="0"/>
      <charset val="1"/>
    </font>
    <font>
      <b val="true"/>
      <sz val="10"/>
      <color rgb="FF8A2B2B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34"/>
        <bgColor rgb="FF333300"/>
      </patternFill>
    </fill>
    <fill>
      <patternFill patternType="solid">
        <fgColor rgb="FFF2F5F4"/>
        <bgColor rgb="FFFFFFFF"/>
      </patternFill>
    </fill>
    <fill>
      <patternFill patternType="solid">
        <fgColor rgb="FFD9F0E1"/>
        <bgColor rgb="FFF2F5F4"/>
      </patternFill>
    </fill>
    <fill>
      <patternFill patternType="solid">
        <fgColor rgb="FFF6DEDE"/>
        <bgColor rgb="FFD5DC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34"/>
          <bgColor rgb="FF000000"/>
        </patternFill>
      </fill>
    </dxf>
    <dxf>
      <fill>
        <patternFill patternType="solid">
          <fgColor rgb="FFF2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6B3A"/>
          <bgColor rgb="FF000000"/>
        </patternFill>
      </fill>
    </dxf>
    <dxf>
      <fill>
        <patternFill patternType="solid">
          <fgColor rgb="FF8A2B2B"/>
          <bgColor rgb="FF000000"/>
        </patternFill>
      </fill>
    </dxf>
    <dxf>
      <fill>
        <patternFill patternType="solid">
          <fgColor rgb="FF8A6D1F"/>
          <bgColor rgb="FF000000"/>
        </patternFill>
      </fill>
    </dxf>
    <dxf>
      <fill>
        <patternFill patternType="solid">
          <fgColor rgb="FFD9F0E1"/>
          <bgColor rgb="FF000000"/>
        </patternFill>
      </fill>
    </dxf>
    <dxf>
      <fill>
        <patternFill patternType="solid">
          <fgColor rgb="FFF6DED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A6D1F"/>
      <rgbColor rgb="FF800080"/>
      <rgbColor rgb="FF008080"/>
      <rgbColor rgb="FFC0C0C0"/>
      <rgbColor rgb="FF808080"/>
      <rgbColor rgb="FF9999FF"/>
      <rgbColor rgb="FF993366"/>
      <rgbColor rgb="FFF2F5F4"/>
      <rgbColor rgb="FFCCFFFF"/>
      <rgbColor rgb="FF660066"/>
      <rgbColor rgb="FFFF8080"/>
      <rgbColor rgb="FF0066CC"/>
      <rgbColor rgb="FFD5D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1"/>
      <rgbColor rgb="FFFFFF99"/>
      <rgbColor rgb="FF99CCFF"/>
      <rgbColor rgb="FFFF99CC"/>
      <rgbColor rgb="FFCC99FF"/>
      <rgbColor rgb="FFF6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A2B2B"/>
      <rgbColor rgb="FF993366"/>
      <rgbColor rgb="FF333399"/>
      <rgbColor rgb="FF1F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66"/>
    <col collapsed="false" customWidth="true" hidden="false" outlineLevel="0" max="12" min="12" style="0" width="9"/>
    <col collapsed="false" customWidth="true" hidden="false" outlineLevel="0" max="13" min="13" style="0" width="30"/>
    <col collapsed="false" customWidth="true" hidden="false" outlineLevel="0" max="14" min="14" style="0" width="24"/>
    <col collapsed="false" customWidth="true" hidden="false" outlineLevel="0" max="15" min="15" style="0" width="9"/>
    <col collapsed="false" customWidth="true" hidden="false" outlineLevel="0" max="16" min="16" style="0" width="74"/>
    <col collapsed="false" customWidth="true" hidden="false" outlineLevel="0" max="17" min="17" style="0" width="30"/>
    <col collapsed="false" customWidth="true" hidden="false" outlineLevel="0" max="18" min="18" style="0" width="40"/>
    <col collapsed="false" customWidth="true" hidden="false" outlineLevel="0" max="19" min="19" style="0" width="6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3.85" hidden="false" customHeight="false" outlineLevel="0" collapsed="false">
      <c r="A2" s="2" t="n">
        <v>1</v>
      </c>
      <c r="B2" s="3" t="n">
        <v>73</v>
      </c>
      <c r="C2" s="4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5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5" t="s">
        <v>32</v>
      </c>
      <c r="Q2" s="5"/>
      <c r="R2" s="2" t="s">
        <v>33</v>
      </c>
      <c r="S2" s="5" t="s">
        <v>34</v>
      </c>
    </row>
    <row r="3" customFormat="false" ht="23.85" hidden="false" customHeight="false" outlineLevel="0" collapsed="false">
      <c r="A3" s="6" t="n">
        <v>2</v>
      </c>
      <c r="B3" s="7" t="n">
        <v>66</v>
      </c>
      <c r="C3" s="8" t="s">
        <v>19</v>
      </c>
      <c r="D3" s="6" t="s">
        <v>35</v>
      </c>
      <c r="E3" s="6" t="s">
        <v>36</v>
      </c>
      <c r="F3" s="6" t="s">
        <v>22</v>
      </c>
      <c r="G3" s="6" t="s">
        <v>23</v>
      </c>
      <c r="H3" s="6" t="s">
        <v>37</v>
      </c>
      <c r="I3" s="6" t="s">
        <v>38</v>
      </c>
      <c r="J3" s="6" t="s">
        <v>39</v>
      </c>
      <c r="K3" s="9" t="s">
        <v>40</v>
      </c>
      <c r="L3" s="6" t="s">
        <v>28</v>
      </c>
      <c r="M3" s="6" t="s">
        <v>41</v>
      </c>
      <c r="N3" s="6" t="s">
        <v>42</v>
      </c>
      <c r="O3" s="6" t="s">
        <v>43</v>
      </c>
      <c r="P3" s="9" t="s">
        <v>44</v>
      </c>
      <c r="Q3" s="9"/>
      <c r="R3" s="6" t="s">
        <v>45</v>
      </c>
      <c r="S3" s="9" t="s">
        <v>46</v>
      </c>
    </row>
    <row r="4" customFormat="false" ht="35.05" hidden="false" customHeight="false" outlineLevel="0" collapsed="false">
      <c r="A4" s="2" t="n">
        <v>3</v>
      </c>
      <c r="B4" s="3" t="n">
        <v>66</v>
      </c>
      <c r="C4" s="4" t="s">
        <v>19</v>
      </c>
      <c r="D4" s="2" t="s">
        <v>47</v>
      </c>
      <c r="E4" s="2" t="s">
        <v>48</v>
      </c>
      <c r="F4" s="2" t="s">
        <v>22</v>
      </c>
      <c r="G4" s="2" t="s">
        <v>23</v>
      </c>
      <c r="H4" s="2" t="s">
        <v>49</v>
      </c>
      <c r="I4" s="2" t="s">
        <v>25</v>
      </c>
      <c r="J4" s="2" t="s">
        <v>50</v>
      </c>
      <c r="K4" s="5" t="s">
        <v>51</v>
      </c>
      <c r="L4" s="2" t="s">
        <v>28</v>
      </c>
      <c r="M4" s="2" t="s">
        <v>52</v>
      </c>
      <c r="N4" s="2" t="s">
        <v>53</v>
      </c>
      <c r="O4" s="2" t="s">
        <v>54</v>
      </c>
      <c r="P4" s="5" t="s">
        <v>55</v>
      </c>
      <c r="Q4" s="5"/>
      <c r="R4" s="2" t="s">
        <v>56</v>
      </c>
      <c r="S4" s="5" t="s">
        <v>57</v>
      </c>
    </row>
    <row r="5" customFormat="false" ht="35.05" hidden="false" customHeight="false" outlineLevel="0" collapsed="false">
      <c r="A5" s="6" t="n">
        <v>4</v>
      </c>
      <c r="B5" s="7" t="n">
        <v>65</v>
      </c>
      <c r="C5" s="8" t="s">
        <v>19</v>
      </c>
      <c r="D5" s="6" t="s">
        <v>58</v>
      </c>
      <c r="E5" s="6" t="s">
        <v>59</v>
      </c>
      <c r="F5" s="6" t="s">
        <v>22</v>
      </c>
      <c r="G5" s="6" t="s">
        <v>23</v>
      </c>
      <c r="H5" s="6" t="s">
        <v>60</v>
      </c>
      <c r="I5" s="6" t="s">
        <v>61</v>
      </c>
      <c r="J5" s="6" t="s">
        <v>62</v>
      </c>
      <c r="K5" s="9" t="s">
        <v>63</v>
      </c>
      <c r="L5" s="6" t="s">
        <v>28</v>
      </c>
      <c r="M5" s="6" t="s">
        <v>64</v>
      </c>
      <c r="N5" s="6" t="s">
        <v>65</v>
      </c>
      <c r="O5" s="6" t="s">
        <v>66</v>
      </c>
      <c r="P5" s="9" t="s">
        <v>67</v>
      </c>
      <c r="Q5" s="9"/>
      <c r="R5" s="6" t="s">
        <v>68</v>
      </c>
      <c r="S5" s="9" t="s">
        <v>69</v>
      </c>
    </row>
    <row r="6" customFormat="false" ht="35.05" hidden="false" customHeight="false" outlineLevel="0" collapsed="false">
      <c r="A6" s="2" t="n">
        <v>5</v>
      </c>
      <c r="B6" s="3" t="n">
        <v>63</v>
      </c>
      <c r="C6" s="4" t="s">
        <v>19</v>
      </c>
      <c r="D6" s="2" t="s">
        <v>70</v>
      </c>
      <c r="E6" s="2" t="s">
        <v>71</v>
      </c>
      <c r="F6" s="10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5" t="s">
        <v>77</v>
      </c>
      <c r="L6" s="2" t="s">
        <v>22</v>
      </c>
      <c r="M6" s="2"/>
      <c r="N6" s="2" t="s">
        <v>78</v>
      </c>
      <c r="O6" s="2" t="s">
        <v>79</v>
      </c>
      <c r="P6" s="5" t="s">
        <v>80</v>
      </c>
      <c r="Q6" s="5"/>
      <c r="R6" s="2" t="s">
        <v>81</v>
      </c>
      <c r="S6" s="5" t="s">
        <v>82</v>
      </c>
    </row>
    <row r="7" customFormat="false" ht="23.85" hidden="false" customHeight="false" outlineLevel="0" collapsed="false">
      <c r="A7" s="6" t="n">
        <v>6</v>
      </c>
      <c r="B7" s="7" t="n">
        <v>63</v>
      </c>
      <c r="C7" s="8" t="s">
        <v>19</v>
      </c>
      <c r="D7" s="6" t="s">
        <v>83</v>
      </c>
      <c r="E7" s="6" t="s">
        <v>36</v>
      </c>
      <c r="F7" s="6" t="s">
        <v>22</v>
      </c>
      <c r="G7" s="6" t="s">
        <v>23</v>
      </c>
      <c r="H7" s="6" t="s">
        <v>84</v>
      </c>
      <c r="I7" s="6" t="s">
        <v>85</v>
      </c>
      <c r="J7" s="6" t="s">
        <v>86</v>
      </c>
      <c r="K7" s="9" t="s">
        <v>87</v>
      </c>
      <c r="L7" s="6" t="s">
        <v>28</v>
      </c>
      <c r="M7" s="6" t="s">
        <v>88</v>
      </c>
      <c r="N7" s="6" t="s">
        <v>89</v>
      </c>
      <c r="O7" s="6" t="s">
        <v>90</v>
      </c>
      <c r="P7" s="9" t="s">
        <v>91</v>
      </c>
      <c r="Q7" s="9"/>
      <c r="R7" s="6" t="s">
        <v>92</v>
      </c>
      <c r="S7" s="9" t="s">
        <v>93</v>
      </c>
    </row>
    <row r="8" customFormat="false" ht="35.05" hidden="false" customHeight="false" outlineLevel="0" collapsed="false">
      <c r="A8" s="2" t="n">
        <v>7</v>
      </c>
      <c r="B8" s="3" t="n">
        <v>63</v>
      </c>
      <c r="C8" s="4" t="s">
        <v>19</v>
      </c>
      <c r="D8" s="2" t="s">
        <v>94</v>
      </c>
      <c r="E8" s="2" t="s">
        <v>59</v>
      </c>
      <c r="F8" s="2" t="s">
        <v>22</v>
      </c>
      <c r="G8" s="2" t="s">
        <v>23</v>
      </c>
      <c r="H8" s="2" t="s">
        <v>95</v>
      </c>
      <c r="I8" s="2" t="s">
        <v>61</v>
      </c>
      <c r="J8" s="2" t="s">
        <v>96</v>
      </c>
      <c r="K8" s="5" t="s">
        <v>97</v>
      </c>
      <c r="L8" s="2" t="s">
        <v>28</v>
      </c>
      <c r="M8" s="2" t="s">
        <v>98</v>
      </c>
      <c r="N8" s="2"/>
      <c r="O8" s="2" t="s">
        <v>99</v>
      </c>
      <c r="P8" s="5" t="s">
        <v>100</v>
      </c>
      <c r="Q8" s="11" t="s">
        <v>101</v>
      </c>
      <c r="R8" s="2" t="s">
        <v>45</v>
      </c>
      <c r="S8" s="5" t="s">
        <v>102</v>
      </c>
    </row>
    <row r="9" customFormat="false" ht="35.05" hidden="false" customHeight="false" outlineLevel="0" collapsed="false">
      <c r="A9" s="6" t="n">
        <v>8</v>
      </c>
      <c r="B9" s="7" t="n">
        <v>59</v>
      </c>
      <c r="C9" s="8" t="s">
        <v>19</v>
      </c>
      <c r="D9" s="6" t="s">
        <v>103</v>
      </c>
      <c r="E9" s="6" t="s">
        <v>36</v>
      </c>
      <c r="F9" s="6" t="s">
        <v>22</v>
      </c>
      <c r="G9" s="6" t="s">
        <v>23</v>
      </c>
      <c r="H9" s="6" t="s">
        <v>104</v>
      </c>
      <c r="I9" s="6" t="s">
        <v>38</v>
      </c>
      <c r="J9" s="6" t="s">
        <v>105</v>
      </c>
      <c r="K9" s="9" t="s">
        <v>106</v>
      </c>
      <c r="L9" s="6" t="s">
        <v>28</v>
      </c>
      <c r="M9" s="6" t="s">
        <v>107</v>
      </c>
      <c r="N9" s="6" t="s">
        <v>108</v>
      </c>
      <c r="O9" s="6" t="s">
        <v>109</v>
      </c>
      <c r="P9" s="9" t="s">
        <v>110</v>
      </c>
      <c r="Q9" s="9"/>
      <c r="R9" s="6" t="s">
        <v>111</v>
      </c>
      <c r="S9" s="9" t="s">
        <v>112</v>
      </c>
    </row>
    <row r="10" customFormat="false" ht="35.05" hidden="false" customHeight="false" outlineLevel="0" collapsed="false">
      <c r="A10" s="2" t="n">
        <v>9</v>
      </c>
      <c r="B10" s="3" t="n">
        <v>58</v>
      </c>
      <c r="C10" s="4" t="s">
        <v>19</v>
      </c>
      <c r="D10" s="2" t="s">
        <v>113</v>
      </c>
      <c r="E10" s="2" t="s">
        <v>114</v>
      </c>
      <c r="F10" s="10" t="s">
        <v>72</v>
      </c>
      <c r="G10" s="2" t="s">
        <v>73</v>
      </c>
      <c r="H10" s="2" t="s">
        <v>115</v>
      </c>
      <c r="I10" s="2" t="s">
        <v>116</v>
      </c>
      <c r="J10" s="2" t="s">
        <v>117</v>
      </c>
      <c r="K10" s="5" t="s">
        <v>118</v>
      </c>
      <c r="L10" s="2" t="s">
        <v>22</v>
      </c>
      <c r="M10" s="2"/>
      <c r="N10" s="2"/>
      <c r="O10" s="2" t="s">
        <v>119</v>
      </c>
      <c r="P10" s="5" t="s">
        <v>120</v>
      </c>
      <c r="Q10" s="11" t="s">
        <v>101</v>
      </c>
      <c r="R10" s="2" t="s">
        <v>121</v>
      </c>
      <c r="S10" s="5"/>
    </row>
    <row r="11" customFormat="false" ht="35.05" hidden="false" customHeight="false" outlineLevel="0" collapsed="false">
      <c r="A11" s="6" t="n">
        <v>10</v>
      </c>
      <c r="B11" s="7" t="n">
        <v>58</v>
      </c>
      <c r="C11" s="8" t="s">
        <v>19</v>
      </c>
      <c r="D11" s="6" t="s">
        <v>122</v>
      </c>
      <c r="E11" s="6" t="s">
        <v>114</v>
      </c>
      <c r="F11" s="10" t="s">
        <v>72</v>
      </c>
      <c r="G11" s="6" t="s">
        <v>73</v>
      </c>
      <c r="H11" s="6" t="s">
        <v>123</v>
      </c>
      <c r="I11" s="6" t="s">
        <v>124</v>
      </c>
      <c r="J11" s="6" t="s">
        <v>125</v>
      </c>
      <c r="K11" s="9" t="s">
        <v>126</v>
      </c>
      <c r="L11" s="6" t="s">
        <v>22</v>
      </c>
      <c r="M11" s="6"/>
      <c r="N11" s="6"/>
      <c r="O11" s="6" t="s">
        <v>127</v>
      </c>
      <c r="P11" s="9" t="s">
        <v>120</v>
      </c>
      <c r="Q11" s="12" t="s">
        <v>101</v>
      </c>
      <c r="R11" s="6" t="s">
        <v>121</v>
      </c>
      <c r="S11" s="9" t="s">
        <v>128</v>
      </c>
    </row>
    <row r="12" customFormat="false" ht="35.05" hidden="false" customHeight="false" outlineLevel="0" collapsed="false">
      <c r="A12" s="2" t="n">
        <v>11</v>
      </c>
      <c r="B12" s="3" t="n">
        <v>58</v>
      </c>
      <c r="C12" s="4" t="s">
        <v>19</v>
      </c>
      <c r="D12" s="2" t="s">
        <v>129</v>
      </c>
      <c r="E12" s="2" t="s">
        <v>59</v>
      </c>
      <c r="F12" s="2" t="s">
        <v>22</v>
      </c>
      <c r="G12" s="2" t="s">
        <v>23</v>
      </c>
      <c r="H12" s="2" t="s">
        <v>130</v>
      </c>
      <c r="I12" s="2" t="s">
        <v>131</v>
      </c>
      <c r="J12" s="2" t="s">
        <v>132</v>
      </c>
      <c r="K12" s="5" t="s">
        <v>133</v>
      </c>
      <c r="L12" s="2" t="s">
        <v>28</v>
      </c>
      <c r="M12" s="2" t="s">
        <v>134</v>
      </c>
      <c r="N12" s="2" t="s">
        <v>135</v>
      </c>
      <c r="O12" s="2" t="s">
        <v>136</v>
      </c>
      <c r="P12" s="5" t="s">
        <v>137</v>
      </c>
      <c r="Q12" s="5"/>
      <c r="R12" s="2" t="s">
        <v>138</v>
      </c>
      <c r="S12" s="5" t="s">
        <v>139</v>
      </c>
    </row>
    <row r="13" customFormat="false" ht="35.05" hidden="false" customHeight="false" outlineLevel="0" collapsed="false">
      <c r="A13" s="6" t="n">
        <v>12</v>
      </c>
      <c r="B13" s="7" t="n">
        <v>58</v>
      </c>
      <c r="C13" s="8" t="s">
        <v>19</v>
      </c>
      <c r="D13" s="6" t="s">
        <v>140</v>
      </c>
      <c r="E13" s="6" t="s">
        <v>71</v>
      </c>
      <c r="F13" s="10" t="s">
        <v>72</v>
      </c>
      <c r="G13" s="6" t="s">
        <v>73</v>
      </c>
      <c r="H13" s="6" t="s">
        <v>141</v>
      </c>
      <c r="I13" s="6" t="s">
        <v>142</v>
      </c>
      <c r="J13" s="6" t="s">
        <v>143</v>
      </c>
      <c r="K13" s="9" t="s">
        <v>144</v>
      </c>
      <c r="L13" s="6" t="s">
        <v>22</v>
      </c>
      <c r="M13" s="6"/>
      <c r="N13" s="6"/>
      <c r="O13" s="6" t="s">
        <v>145</v>
      </c>
      <c r="P13" s="9" t="s">
        <v>146</v>
      </c>
      <c r="Q13" s="12" t="s">
        <v>101</v>
      </c>
      <c r="R13" s="6" t="s">
        <v>147</v>
      </c>
      <c r="S13" s="9"/>
    </row>
    <row r="14" customFormat="false" ht="23.85" hidden="false" customHeight="false" outlineLevel="0" collapsed="false">
      <c r="A14" s="2" t="n">
        <v>13</v>
      </c>
      <c r="B14" s="3" t="n">
        <v>58</v>
      </c>
      <c r="C14" s="4" t="s">
        <v>19</v>
      </c>
      <c r="D14" s="2" t="s">
        <v>148</v>
      </c>
      <c r="E14" s="2" t="s">
        <v>48</v>
      </c>
      <c r="F14" s="2" t="s">
        <v>22</v>
      </c>
      <c r="G14" s="2" t="s">
        <v>23</v>
      </c>
      <c r="H14" s="2" t="s">
        <v>149</v>
      </c>
      <c r="I14" s="2" t="s">
        <v>150</v>
      </c>
      <c r="J14" s="2" t="s">
        <v>151</v>
      </c>
      <c r="K14" s="5" t="s">
        <v>152</v>
      </c>
      <c r="L14" s="2" t="s">
        <v>22</v>
      </c>
      <c r="M14" s="2" t="s">
        <v>153</v>
      </c>
      <c r="N14" s="2" t="s">
        <v>154</v>
      </c>
      <c r="O14" s="2" t="s">
        <v>155</v>
      </c>
      <c r="P14" s="5" t="s">
        <v>156</v>
      </c>
      <c r="Q14" s="5"/>
      <c r="R14" s="2" t="s">
        <v>157</v>
      </c>
      <c r="S14" s="5" t="s">
        <v>158</v>
      </c>
    </row>
    <row r="15" customFormat="false" ht="35.05" hidden="false" customHeight="false" outlineLevel="0" collapsed="false">
      <c r="A15" s="6" t="n">
        <v>14</v>
      </c>
      <c r="B15" s="7" t="n">
        <v>58</v>
      </c>
      <c r="C15" s="8" t="s">
        <v>19</v>
      </c>
      <c r="D15" s="6" t="s">
        <v>159</v>
      </c>
      <c r="E15" s="6" t="s">
        <v>114</v>
      </c>
      <c r="F15" s="10" t="s">
        <v>72</v>
      </c>
      <c r="G15" s="6" t="s">
        <v>73</v>
      </c>
      <c r="H15" s="6" t="s">
        <v>160</v>
      </c>
      <c r="I15" s="6" t="s">
        <v>161</v>
      </c>
      <c r="J15" s="6" t="s">
        <v>162</v>
      </c>
      <c r="K15" s="9" t="s">
        <v>163</v>
      </c>
      <c r="L15" s="6" t="s">
        <v>22</v>
      </c>
      <c r="M15" s="6"/>
      <c r="N15" s="6"/>
      <c r="O15" s="6" t="s">
        <v>164</v>
      </c>
      <c r="P15" s="9" t="s">
        <v>120</v>
      </c>
      <c r="Q15" s="12" t="s">
        <v>101</v>
      </c>
      <c r="R15" s="6" t="s">
        <v>121</v>
      </c>
      <c r="S15" s="9"/>
    </row>
    <row r="16" customFormat="false" ht="35.05" hidden="false" customHeight="false" outlineLevel="0" collapsed="false">
      <c r="A16" s="2" t="n">
        <v>15</v>
      </c>
      <c r="B16" s="3" t="n">
        <v>58</v>
      </c>
      <c r="C16" s="4" t="s">
        <v>19</v>
      </c>
      <c r="D16" s="2" t="s">
        <v>165</v>
      </c>
      <c r="E16" s="2" t="s">
        <v>114</v>
      </c>
      <c r="F16" s="10" t="s">
        <v>72</v>
      </c>
      <c r="G16" s="2" t="s">
        <v>73</v>
      </c>
      <c r="H16" s="2" t="s">
        <v>166</v>
      </c>
      <c r="I16" s="2" t="s">
        <v>167</v>
      </c>
      <c r="J16" s="2" t="s">
        <v>168</v>
      </c>
      <c r="K16" s="5" t="s">
        <v>169</v>
      </c>
      <c r="L16" s="2" t="s">
        <v>22</v>
      </c>
      <c r="M16" s="2"/>
      <c r="N16" s="2"/>
      <c r="O16" s="2" t="s">
        <v>170</v>
      </c>
      <c r="P16" s="5" t="s">
        <v>120</v>
      </c>
      <c r="Q16" s="11" t="s">
        <v>101</v>
      </c>
      <c r="R16" s="2" t="s">
        <v>121</v>
      </c>
      <c r="S16" s="5"/>
    </row>
    <row r="17" customFormat="false" ht="35.05" hidden="false" customHeight="false" outlineLevel="0" collapsed="false">
      <c r="A17" s="6" t="n">
        <v>16</v>
      </c>
      <c r="B17" s="7" t="n">
        <v>58</v>
      </c>
      <c r="C17" s="8" t="s">
        <v>19</v>
      </c>
      <c r="D17" s="6" t="s">
        <v>171</v>
      </c>
      <c r="E17" s="6" t="s">
        <v>172</v>
      </c>
      <c r="F17" s="10" t="s">
        <v>72</v>
      </c>
      <c r="G17" s="6" t="s">
        <v>73</v>
      </c>
      <c r="H17" s="6" t="s">
        <v>173</v>
      </c>
      <c r="I17" s="6" t="s">
        <v>174</v>
      </c>
      <c r="J17" s="6" t="s">
        <v>175</v>
      </c>
      <c r="K17" s="9" t="s">
        <v>176</v>
      </c>
      <c r="L17" s="6" t="s">
        <v>22</v>
      </c>
      <c r="M17" s="6"/>
      <c r="N17" s="6"/>
      <c r="O17" s="6" t="s">
        <v>177</v>
      </c>
      <c r="P17" s="9" t="s">
        <v>120</v>
      </c>
      <c r="Q17" s="12" t="s">
        <v>101</v>
      </c>
      <c r="R17" s="6" t="s">
        <v>147</v>
      </c>
      <c r="S17" s="9"/>
    </row>
    <row r="18" customFormat="false" ht="35.05" hidden="false" customHeight="false" outlineLevel="0" collapsed="false">
      <c r="A18" s="2" t="n">
        <v>17</v>
      </c>
      <c r="B18" s="3" t="n">
        <v>58</v>
      </c>
      <c r="C18" s="4" t="s">
        <v>19</v>
      </c>
      <c r="D18" s="2" t="s">
        <v>178</v>
      </c>
      <c r="E18" s="2" t="s">
        <v>114</v>
      </c>
      <c r="F18" s="10" t="s">
        <v>72</v>
      </c>
      <c r="G18" s="2" t="s">
        <v>73</v>
      </c>
      <c r="H18" s="2" t="s">
        <v>179</v>
      </c>
      <c r="I18" s="2" t="s">
        <v>180</v>
      </c>
      <c r="J18" s="2" t="s">
        <v>181</v>
      </c>
      <c r="K18" s="5" t="s">
        <v>182</v>
      </c>
      <c r="L18" s="2" t="s">
        <v>22</v>
      </c>
      <c r="M18" s="2"/>
      <c r="N18" s="2"/>
      <c r="O18" s="2" t="s">
        <v>183</v>
      </c>
      <c r="P18" s="5" t="s">
        <v>120</v>
      </c>
      <c r="Q18" s="11" t="s">
        <v>101</v>
      </c>
      <c r="R18" s="2" t="s">
        <v>121</v>
      </c>
      <c r="S18" s="5"/>
    </row>
    <row r="19" customFormat="false" ht="35.05" hidden="false" customHeight="false" outlineLevel="0" collapsed="false">
      <c r="A19" s="6" t="n">
        <v>18</v>
      </c>
      <c r="B19" s="7" t="n">
        <v>58</v>
      </c>
      <c r="C19" s="8" t="s">
        <v>19</v>
      </c>
      <c r="D19" s="6" t="s">
        <v>184</v>
      </c>
      <c r="E19" s="6" t="s">
        <v>172</v>
      </c>
      <c r="F19" s="10" t="s">
        <v>72</v>
      </c>
      <c r="G19" s="6" t="s">
        <v>73</v>
      </c>
      <c r="H19" s="6" t="s">
        <v>185</v>
      </c>
      <c r="I19" s="6" t="s">
        <v>116</v>
      </c>
      <c r="J19" s="6" t="s">
        <v>186</v>
      </c>
      <c r="K19" s="9" t="s">
        <v>187</v>
      </c>
      <c r="L19" s="6" t="s">
        <v>22</v>
      </c>
      <c r="M19" s="6"/>
      <c r="N19" s="6"/>
      <c r="O19" s="6" t="s">
        <v>188</v>
      </c>
      <c r="P19" s="9" t="s">
        <v>120</v>
      </c>
      <c r="Q19" s="12" t="s">
        <v>189</v>
      </c>
      <c r="R19" s="6" t="s">
        <v>190</v>
      </c>
      <c r="S19" s="9" t="s">
        <v>191</v>
      </c>
    </row>
    <row r="20" customFormat="false" ht="35.05" hidden="false" customHeight="false" outlineLevel="0" collapsed="false">
      <c r="A20" s="2" t="n">
        <v>19</v>
      </c>
      <c r="B20" s="3" t="n">
        <v>56</v>
      </c>
      <c r="C20" s="4" t="s">
        <v>19</v>
      </c>
      <c r="D20" s="2" t="s">
        <v>192</v>
      </c>
      <c r="E20" s="2" t="s">
        <v>36</v>
      </c>
      <c r="F20" s="2" t="s">
        <v>22</v>
      </c>
      <c r="G20" s="2" t="s">
        <v>23</v>
      </c>
      <c r="H20" s="2"/>
      <c r="I20" s="2"/>
      <c r="J20" s="2" t="s">
        <v>193</v>
      </c>
      <c r="K20" s="5" t="s">
        <v>194</v>
      </c>
      <c r="L20" s="2" t="s">
        <v>28</v>
      </c>
      <c r="M20" s="2" t="s">
        <v>195</v>
      </c>
      <c r="N20" s="2" t="s">
        <v>196</v>
      </c>
      <c r="O20" s="2" t="s">
        <v>197</v>
      </c>
      <c r="P20" s="5" t="s">
        <v>198</v>
      </c>
      <c r="Q20" s="5"/>
      <c r="R20" s="2" t="s">
        <v>199</v>
      </c>
      <c r="S20" s="5" t="s">
        <v>200</v>
      </c>
    </row>
    <row r="21" customFormat="false" ht="35.05" hidden="false" customHeight="false" outlineLevel="0" collapsed="false">
      <c r="A21" s="6" t="n">
        <v>20</v>
      </c>
      <c r="B21" s="7" t="n">
        <v>56</v>
      </c>
      <c r="C21" s="8" t="s">
        <v>19</v>
      </c>
      <c r="D21" s="6" t="s">
        <v>201</v>
      </c>
      <c r="E21" s="6" t="s">
        <v>36</v>
      </c>
      <c r="F21" s="6" t="s">
        <v>22</v>
      </c>
      <c r="G21" s="6" t="s">
        <v>23</v>
      </c>
      <c r="H21" s="6" t="s">
        <v>202</v>
      </c>
      <c r="I21" s="6" t="s">
        <v>38</v>
      </c>
      <c r="J21" s="6" t="s">
        <v>203</v>
      </c>
      <c r="K21" s="9" t="s">
        <v>204</v>
      </c>
      <c r="L21" s="6" t="s">
        <v>28</v>
      </c>
      <c r="M21" s="6" t="s">
        <v>205</v>
      </c>
      <c r="N21" s="6" t="s">
        <v>206</v>
      </c>
      <c r="O21" s="6" t="s">
        <v>207</v>
      </c>
      <c r="P21" s="9" t="s">
        <v>208</v>
      </c>
      <c r="Q21" s="9"/>
      <c r="R21" s="6" t="s">
        <v>209</v>
      </c>
      <c r="S21" s="9" t="s">
        <v>210</v>
      </c>
    </row>
    <row r="22" customFormat="false" ht="23.85" hidden="false" customHeight="false" outlineLevel="0" collapsed="false">
      <c r="A22" s="2" t="n">
        <v>21</v>
      </c>
      <c r="B22" s="3" t="n">
        <v>56</v>
      </c>
      <c r="C22" s="4" t="s">
        <v>19</v>
      </c>
      <c r="D22" s="2" t="s">
        <v>211</v>
      </c>
      <c r="E22" s="2" t="s">
        <v>36</v>
      </c>
      <c r="F22" s="2" t="s">
        <v>22</v>
      </c>
      <c r="G22" s="2" t="s">
        <v>23</v>
      </c>
      <c r="H22" s="2" t="s">
        <v>212</v>
      </c>
      <c r="I22" s="2" t="s">
        <v>38</v>
      </c>
      <c r="J22" s="2" t="s">
        <v>213</v>
      </c>
      <c r="K22" s="5" t="s">
        <v>214</v>
      </c>
      <c r="L22" s="2" t="s">
        <v>28</v>
      </c>
      <c r="M22" s="2" t="s">
        <v>215</v>
      </c>
      <c r="N22" s="2" t="s">
        <v>216</v>
      </c>
      <c r="O22" s="2" t="s">
        <v>217</v>
      </c>
      <c r="P22" s="5" t="s">
        <v>218</v>
      </c>
      <c r="Q22" s="5"/>
      <c r="R22" s="2" t="s">
        <v>219</v>
      </c>
      <c r="S22" s="5" t="s">
        <v>220</v>
      </c>
    </row>
    <row r="23" customFormat="false" ht="35.05" hidden="false" customHeight="false" outlineLevel="0" collapsed="false">
      <c r="A23" s="6" t="n">
        <v>22</v>
      </c>
      <c r="B23" s="7" t="n">
        <v>56</v>
      </c>
      <c r="C23" s="8" t="s">
        <v>19</v>
      </c>
      <c r="D23" s="6" t="s">
        <v>221</v>
      </c>
      <c r="E23" s="6" t="s">
        <v>59</v>
      </c>
      <c r="F23" s="6" t="s">
        <v>22</v>
      </c>
      <c r="G23" s="6" t="s">
        <v>23</v>
      </c>
      <c r="H23" s="6" t="s">
        <v>222</v>
      </c>
      <c r="I23" s="6" t="s">
        <v>61</v>
      </c>
      <c r="J23" s="6" t="s">
        <v>223</v>
      </c>
      <c r="K23" s="9" t="s">
        <v>224</v>
      </c>
      <c r="L23" s="6" t="s">
        <v>28</v>
      </c>
      <c r="M23" s="6" t="s">
        <v>225</v>
      </c>
      <c r="N23" s="6"/>
      <c r="O23" s="6" t="s">
        <v>226</v>
      </c>
      <c r="P23" s="9" t="s">
        <v>227</v>
      </c>
      <c r="Q23" s="12" t="s">
        <v>101</v>
      </c>
      <c r="R23" s="6" t="s">
        <v>228</v>
      </c>
      <c r="S23" s="9" t="s">
        <v>229</v>
      </c>
    </row>
    <row r="24" customFormat="false" ht="35.05" hidden="false" customHeight="false" outlineLevel="0" collapsed="false">
      <c r="A24" s="2" t="n">
        <v>23</v>
      </c>
      <c r="B24" s="3" t="n">
        <v>55</v>
      </c>
      <c r="C24" s="4" t="s">
        <v>19</v>
      </c>
      <c r="D24" s="2" t="s">
        <v>230</v>
      </c>
      <c r="E24" s="2" t="s">
        <v>59</v>
      </c>
      <c r="F24" s="2" t="s">
        <v>22</v>
      </c>
      <c r="G24" s="2" t="s">
        <v>23</v>
      </c>
      <c r="H24" s="2"/>
      <c r="I24" s="2"/>
      <c r="J24" s="2" t="s">
        <v>193</v>
      </c>
      <c r="K24" s="5" t="s">
        <v>231</v>
      </c>
      <c r="L24" s="2" t="s">
        <v>28</v>
      </c>
      <c r="M24" s="2" t="s">
        <v>232</v>
      </c>
      <c r="N24" s="2" t="s">
        <v>233</v>
      </c>
      <c r="O24" s="2" t="s">
        <v>234</v>
      </c>
      <c r="P24" s="5" t="s">
        <v>235</v>
      </c>
      <c r="Q24" s="5"/>
      <c r="R24" s="2" t="s">
        <v>236</v>
      </c>
      <c r="S24" s="5" t="s">
        <v>237</v>
      </c>
    </row>
    <row r="25" customFormat="false" ht="35.05" hidden="false" customHeight="false" outlineLevel="0" collapsed="false">
      <c r="A25" s="6" t="n">
        <v>24</v>
      </c>
      <c r="B25" s="7" t="n">
        <v>55</v>
      </c>
      <c r="C25" s="8" t="s">
        <v>19</v>
      </c>
      <c r="D25" s="6" t="s">
        <v>238</v>
      </c>
      <c r="E25" s="6" t="s">
        <v>59</v>
      </c>
      <c r="F25" s="6" t="s">
        <v>22</v>
      </c>
      <c r="G25" s="6" t="s">
        <v>23</v>
      </c>
      <c r="H25" s="6"/>
      <c r="I25" s="6"/>
      <c r="J25" s="6" t="s">
        <v>193</v>
      </c>
      <c r="K25" s="9" t="s">
        <v>239</v>
      </c>
      <c r="L25" s="6" t="s">
        <v>28</v>
      </c>
      <c r="M25" s="6" t="s">
        <v>240</v>
      </c>
      <c r="N25" s="6" t="s">
        <v>241</v>
      </c>
      <c r="O25" s="6" t="s">
        <v>242</v>
      </c>
      <c r="P25" s="9" t="s">
        <v>243</v>
      </c>
      <c r="Q25" s="9"/>
      <c r="R25" s="6" t="s">
        <v>244</v>
      </c>
      <c r="S25" s="9" t="s">
        <v>245</v>
      </c>
    </row>
    <row r="26" customFormat="false" ht="23.85" hidden="false" customHeight="false" outlineLevel="0" collapsed="false">
      <c r="A26" s="2" t="n">
        <v>25</v>
      </c>
      <c r="B26" s="3" t="n">
        <v>54</v>
      </c>
      <c r="C26" s="13" t="s">
        <v>246</v>
      </c>
      <c r="D26" s="2" t="s">
        <v>247</v>
      </c>
      <c r="E26" s="2" t="s">
        <v>21</v>
      </c>
      <c r="F26" s="2" t="s">
        <v>22</v>
      </c>
      <c r="G26" s="2" t="s">
        <v>23</v>
      </c>
      <c r="H26" s="2" t="s">
        <v>248</v>
      </c>
      <c r="I26" s="2" t="s">
        <v>25</v>
      </c>
      <c r="J26" s="2" t="s">
        <v>249</v>
      </c>
      <c r="K26" s="5" t="s">
        <v>250</v>
      </c>
      <c r="L26" s="2" t="s">
        <v>22</v>
      </c>
      <c r="M26" s="2" t="s">
        <v>225</v>
      </c>
      <c r="N26" s="2" t="s">
        <v>251</v>
      </c>
      <c r="O26" s="2" t="s">
        <v>252</v>
      </c>
      <c r="P26" s="5" t="s">
        <v>253</v>
      </c>
      <c r="Q26" s="5"/>
      <c r="R26" s="2" t="s">
        <v>254</v>
      </c>
      <c r="S26" s="5" t="s">
        <v>255</v>
      </c>
    </row>
    <row r="27" customFormat="false" ht="35.05" hidden="false" customHeight="false" outlineLevel="0" collapsed="false">
      <c r="A27" s="6" t="n">
        <v>26</v>
      </c>
      <c r="B27" s="7" t="n">
        <v>54</v>
      </c>
      <c r="C27" s="14" t="s">
        <v>246</v>
      </c>
      <c r="D27" s="6" t="s">
        <v>256</v>
      </c>
      <c r="E27" s="6" t="s">
        <v>257</v>
      </c>
      <c r="F27" s="6" t="s">
        <v>22</v>
      </c>
      <c r="G27" s="6" t="s">
        <v>23</v>
      </c>
      <c r="H27" s="6" t="s">
        <v>258</v>
      </c>
      <c r="I27" s="6" t="s">
        <v>25</v>
      </c>
      <c r="J27" s="6" t="s">
        <v>259</v>
      </c>
      <c r="K27" s="9" t="s">
        <v>260</v>
      </c>
      <c r="L27" s="6" t="s">
        <v>22</v>
      </c>
      <c r="M27" s="6" t="s">
        <v>261</v>
      </c>
      <c r="N27" s="6" t="s">
        <v>262</v>
      </c>
      <c r="O27" s="6" t="s">
        <v>263</v>
      </c>
      <c r="P27" s="9" t="s">
        <v>253</v>
      </c>
      <c r="Q27" s="9"/>
      <c r="R27" s="6" t="s">
        <v>264</v>
      </c>
      <c r="S27" s="9" t="s">
        <v>265</v>
      </c>
    </row>
    <row r="28" customFormat="false" ht="23.85" hidden="false" customHeight="false" outlineLevel="0" collapsed="false">
      <c r="A28" s="2" t="n">
        <v>27</v>
      </c>
      <c r="B28" s="3" t="n">
        <v>54</v>
      </c>
      <c r="C28" s="13" t="s">
        <v>246</v>
      </c>
      <c r="D28" s="2" t="s">
        <v>266</v>
      </c>
      <c r="E28" s="2" t="s">
        <v>21</v>
      </c>
      <c r="F28" s="2" t="s">
        <v>22</v>
      </c>
      <c r="G28" s="2" t="s">
        <v>23</v>
      </c>
      <c r="H28" s="2" t="s">
        <v>267</v>
      </c>
      <c r="I28" s="2" t="s">
        <v>268</v>
      </c>
      <c r="J28" s="2" t="s">
        <v>269</v>
      </c>
      <c r="K28" s="5" t="s">
        <v>270</v>
      </c>
      <c r="L28" s="2" t="s">
        <v>22</v>
      </c>
      <c r="M28" s="2" t="s">
        <v>64</v>
      </c>
      <c r="N28" s="2" t="s">
        <v>271</v>
      </c>
      <c r="O28" s="2" t="s">
        <v>272</v>
      </c>
      <c r="P28" s="5" t="s">
        <v>273</v>
      </c>
      <c r="Q28" s="5"/>
      <c r="R28" s="2" t="s">
        <v>274</v>
      </c>
      <c r="S28" s="5" t="s">
        <v>275</v>
      </c>
    </row>
    <row r="29" customFormat="false" ht="23.85" hidden="false" customHeight="false" outlineLevel="0" collapsed="false">
      <c r="A29" s="6" t="n">
        <v>28</v>
      </c>
      <c r="B29" s="7" t="n">
        <v>54</v>
      </c>
      <c r="C29" s="14" t="s">
        <v>246</v>
      </c>
      <c r="D29" s="6" t="s">
        <v>276</v>
      </c>
      <c r="E29" s="6" t="s">
        <v>36</v>
      </c>
      <c r="F29" s="6" t="s">
        <v>22</v>
      </c>
      <c r="G29" s="6" t="s">
        <v>23</v>
      </c>
      <c r="H29" s="6" t="s">
        <v>277</v>
      </c>
      <c r="I29" s="6" t="s">
        <v>278</v>
      </c>
      <c r="J29" s="6" t="s">
        <v>279</v>
      </c>
      <c r="K29" s="9" t="s">
        <v>280</v>
      </c>
      <c r="L29" s="6" t="s">
        <v>22</v>
      </c>
      <c r="M29" s="6" t="s">
        <v>281</v>
      </c>
      <c r="N29" s="6" t="s">
        <v>282</v>
      </c>
      <c r="O29" s="6" t="s">
        <v>283</v>
      </c>
      <c r="P29" s="9" t="s">
        <v>284</v>
      </c>
      <c r="Q29" s="9"/>
      <c r="R29" s="6" t="s">
        <v>285</v>
      </c>
      <c r="S29" s="9" t="s">
        <v>286</v>
      </c>
    </row>
    <row r="30" customFormat="false" ht="23.85" hidden="false" customHeight="false" outlineLevel="0" collapsed="false">
      <c r="A30" s="2" t="n">
        <v>29</v>
      </c>
      <c r="B30" s="3" t="n">
        <v>54</v>
      </c>
      <c r="C30" s="13" t="s">
        <v>246</v>
      </c>
      <c r="D30" s="2" t="s">
        <v>287</v>
      </c>
      <c r="E30" s="2" t="s">
        <v>21</v>
      </c>
      <c r="F30" s="2" t="s">
        <v>22</v>
      </c>
      <c r="G30" s="2" t="s">
        <v>23</v>
      </c>
      <c r="H30" s="2" t="s">
        <v>288</v>
      </c>
      <c r="I30" s="2" t="s">
        <v>38</v>
      </c>
      <c r="J30" s="2" t="s">
        <v>289</v>
      </c>
      <c r="K30" s="5" t="s">
        <v>290</v>
      </c>
      <c r="L30" s="2" t="s">
        <v>22</v>
      </c>
      <c r="M30" s="2" t="s">
        <v>291</v>
      </c>
      <c r="N30" s="2" t="s">
        <v>292</v>
      </c>
      <c r="O30" s="2" t="s">
        <v>293</v>
      </c>
      <c r="P30" s="5" t="s">
        <v>294</v>
      </c>
      <c r="Q30" s="5"/>
      <c r="R30" s="2" t="s">
        <v>295</v>
      </c>
      <c r="S30" s="5" t="s">
        <v>296</v>
      </c>
    </row>
    <row r="31" customFormat="false" ht="35.05" hidden="false" customHeight="false" outlineLevel="0" collapsed="false">
      <c r="A31" s="6" t="n">
        <v>30</v>
      </c>
      <c r="B31" s="7" t="n">
        <v>54</v>
      </c>
      <c r="C31" s="14" t="s">
        <v>246</v>
      </c>
      <c r="D31" s="6" t="s">
        <v>297</v>
      </c>
      <c r="E31" s="6" t="s">
        <v>21</v>
      </c>
      <c r="F31" s="6" t="s">
        <v>22</v>
      </c>
      <c r="G31" s="6" t="s">
        <v>23</v>
      </c>
      <c r="H31" s="6" t="s">
        <v>298</v>
      </c>
      <c r="I31" s="6" t="s">
        <v>25</v>
      </c>
      <c r="J31" s="6" t="s">
        <v>299</v>
      </c>
      <c r="K31" s="9" t="s">
        <v>300</v>
      </c>
      <c r="L31" s="6" t="s">
        <v>22</v>
      </c>
      <c r="M31" s="6" t="s">
        <v>301</v>
      </c>
      <c r="N31" s="6" t="s">
        <v>302</v>
      </c>
      <c r="O31" s="6" t="s">
        <v>303</v>
      </c>
      <c r="P31" s="9" t="s">
        <v>253</v>
      </c>
      <c r="Q31" s="9"/>
      <c r="R31" s="6" t="s">
        <v>304</v>
      </c>
      <c r="S31" s="9" t="s">
        <v>305</v>
      </c>
    </row>
    <row r="32" customFormat="false" ht="35.05" hidden="false" customHeight="false" outlineLevel="0" collapsed="false">
      <c r="A32" s="2" t="n">
        <v>31</v>
      </c>
      <c r="B32" s="3" t="n">
        <v>53</v>
      </c>
      <c r="C32" s="13" t="s">
        <v>246</v>
      </c>
      <c r="D32" s="2" t="s">
        <v>306</v>
      </c>
      <c r="E32" s="2" t="s">
        <v>59</v>
      </c>
      <c r="F32" s="2" t="s">
        <v>22</v>
      </c>
      <c r="G32" s="2" t="s">
        <v>23</v>
      </c>
      <c r="H32" s="2"/>
      <c r="I32" s="2"/>
      <c r="J32" s="2" t="s">
        <v>193</v>
      </c>
      <c r="K32" s="5" t="s">
        <v>307</v>
      </c>
      <c r="L32" s="2" t="s">
        <v>28</v>
      </c>
      <c r="M32" s="2" t="s">
        <v>308</v>
      </c>
      <c r="N32" s="2"/>
      <c r="O32" s="2" t="s">
        <v>309</v>
      </c>
      <c r="P32" s="5" t="s">
        <v>310</v>
      </c>
      <c r="Q32" s="11" t="s">
        <v>101</v>
      </c>
      <c r="R32" s="2" t="s">
        <v>311</v>
      </c>
      <c r="S32" s="5" t="s">
        <v>312</v>
      </c>
    </row>
    <row r="33" customFormat="false" ht="23.85" hidden="false" customHeight="false" outlineLevel="0" collapsed="false">
      <c r="A33" s="6" t="n">
        <v>32</v>
      </c>
      <c r="B33" s="7" t="n">
        <v>53</v>
      </c>
      <c r="C33" s="14" t="s">
        <v>246</v>
      </c>
      <c r="D33" s="6" t="s">
        <v>313</v>
      </c>
      <c r="E33" s="6" t="s">
        <v>257</v>
      </c>
      <c r="F33" s="6" t="s">
        <v>22</v>
      </c>
      <c r="G33" s="6" t="s">
        <v>23</v>
      </c>
      <c r="H33" s="6" t="s">
        <v>314</v>
      </c>
      <c r="I33" s="6" t="s">
        <v>174</v>
      </c>
      <c r="J33" s="6" t="s">
        <v>315</v>
      </c>
      <c r="K33" s="9" t="s">
        <v>316</v>
      </c>
      <c r="L33" s="6" t="s">
        <v>28</v>
      </c>
      <c r="M33" s="6" t="s">
        <v>317</v>
      </c>
      <c r="N33" s="6" t="s">
        <v>318</v>
      </c>
      <c r="O33" s="6" t="s">
        <v>319</v>
      </c>
      <c r="P33" s="9" t="s">
        <v>320</v>
      </c>
      <c r="Q33" s="9"/>
      <c r="R33" s="6" t="s">
        <v>321</v>
      </c>
      <c r="S33" s="9" t="s">
        <v>322</v>
      </c>
    </row>
    <row r="34" customFormat="false" ht="35.05" hidden="false" customHeight="false" outlineLevel="0" collapsed="false">
      <c r="A34" s="2" t="n">
        <v>33</v>
      </c>
      <c r="B34" s="3" t="n">
        <v>53</v>
      </c>
      <c r="C34" s="13" t="s">
        <v>246</v>
      </c>
      <c r="D34" s="2" t="s">
        <v>323</v>
      </c>
      <c r="E34" s="2" t="s">
        <v>257</v>
      </c>
      <c r="F34" s="2" t="s">
        <v>22</v>
      </c>
      <c r="G34" s="2" t="s">
        <v>23</v>
      </c>
      <c r="H34" s="2" t="s">
        <v>324</v>
      </c>
      <c r="I34" s="2" t="s">
        <v>174</v>
      </c>
      <c r="J34" s="2" t="s">
        <v>325</v>
      </c>
      <c r="K34" s="5" t="s">
        <v>326</v>
      </c>
      <c r="L34" s="2" t="s">
        <v>28</v>
      </c>
      <c r="M34" s="2" t="s">
        <v>317</v>
      </c>
      <c r="N34" s="2" t="s">
        <v>327</v>
      </c>
      <c r="O34" s="2" t="s">
        <v>328</v>
      </c>
      <c r="P34" s="5" t="s">
        <v>320</v>
      </c>
      <c r="Q34" s="5"/>
      <c r="R34" s="2" t="s">
        <v>329</v>
      </c>
      <c r="S34" s="5" t="s">
        <v>330</v>
      </c>
    </row>
    <row r="35" customFormat="false" ht="23.85" hidden="false" customHeight="false" outlineLevel="0" collapsed="false">
      <c r="A35" s="6" t="n">
        <v>34</v>
      </c>
      <c r="B35" s="7" t="n">
        <v>53</v>
      </c>
      <c r="C35" s="14" t="s">
        <v>246</v>
      </c>
      <c r="D35" s="6" t="s">
        <v>331</v>
      </c>
      <c r="E35" s="6" t="s">
        <v>257</v>
      </c>
      <c r="F35" s="6" t="s">
        <v>22</v>
      </c>
      <c r="G35" s="6" t="s">
        <v>23</v>
      </c>
      <c r="H35" s="6" t="s">
        <v>332</v>
      </c>
      <c r="I35" s="6" t="s">
        <v>333</v>
      </c>
      <c r="J35" s="6" t="s">
        <v>334</v>
      </c>
      <c r="K35" s="9" t="s">
        <v>335</v>
      </c>
      <c r="L35" s="6" t="s">
        <v>28</v>
      </c>
      <c r="M35" s="6" t="s">
        <v>317</v>
      </c>
      <c r="N35" s="6" t="s">
        <v>336</v>
      </c>
      <c r="O35" s="6" t="s">
        <v>337</v>
      </c>
      <c r="P35" s="9" t="s">
        <v>320</v>
      </c>
      <c r="Q35" s="9"/>
      <c r="R35" s="6" t="s">
        <v>338</v>
      </c>
      <c r="S35" s="9" t="s">
        <v>339</v>
      </c>
    </row>
    <row r="36" customFormat="false" ht="35.05" hidden="false" customHeight="false" outlineLevel="0" collapsed="false">
      <c r="A36" s="2" t="n">
        <v>35</v>
      </c>
      <c r="B36" s="3" t="n">
        <v>53</v>
      </c>
      <c r="C36" s="13" t="s">
        <v>246</v>
      </c>
      <c r="D36" s="2" t="s">
        <v>340</v>
      </c>
      <c r="E36" s="2" t="s">
        <v>59</v>
      </c>
      <c r="F36" s="2" t="s">
        <v>22</v>
      </c>
      <c r="G36" s="2" t="s">
        <v>23</v>
      </c>
      <c r="H36" s="2" t="s">
        <v>341</v>
      </c>
      <c r="I36" s="2" t="s">
        <v>61</v>
      </c>
      <c r="J36" s="2" t="s">
        <v>342</v>
      </c>
      <c r="K36" s="5" t="s">
        <v>343</v>
      </c>
      <c r="L36" s="2" t="s">
        <v>28</v>
      </c>
      <c r="M36" s="2" t="s">
        <v>215</v>
      </c>
      <c r="N36" s="2"/>
      <c r="O36" s="2" t="s">
        <v>344</v>
      </c>
      <c r="P36" s="5" t="s">
        <v>345</v>
      </c>
      <c r="Q36" s="11" t="s">
        <v>101</v>
      </c>
      <c r="R36" s="2" t="s">
        <v>219</v>
      </c>
      <c r="S36" s="5" t="s">
        <v>346</v>
      </c>
    </row>
    <row r="37" customFormat="false" ht="23.85" hidden="false" customHeight="false" outlineLevel="0" collapsed="false">
      <c r="A37" s="6" t="n">
        <v>36</v>
      </c>
      <c r="B37" s="7" t="n">
        <v>52</v>
      </c>
      <c r="C37" s="14" t="s">
        <v>246</v>
      </c>
      <c r="D37" s="6" t="s">
        <v>347</v>
      </c>
      <c r="E37" s="6" t="s">
        <v>348</v>
      </c>
      <c r="F37" s="10" t="s">
        <v>72</v>
      </c>
      <c r="G37" s="6" t="s">
        <v>73</v>
      </c>
      <c r="H37" s="6" t="s">
        <v>349</v>
      </c>
      <c r="I37" s="6" t="s">
        <v>350</v>
      </c>
      <c r="J37" s="6" t="s">
        <v>351</v>
      </c>
      <c r="K37" s="9" t="s">
        <v>352</v>
      </c>
      <c r="L37" s="6" t="s">
        <v>22</v>
      </c>
      <c r="M37" s="6"/>
      <c r="N37" s="6"/>
      <c r="O37" s="6" t="s">
        <v>353</v>
      </c>
      <c r="P37" s="9" t="s">
        <v>354</v>
      </c>
      <c r="Q37" s="12" t="s">
        <v>101</v>
      </c>
      <c r="R37" s="6" t="s">
        <v>355</v>
      </c>
      <c r="S37" s="9" t="s">
        <v>356</v>
      </c>
    </row>
    <row r="38" customFormat="false" ht="23.85" hidden="false" customHeight="false" outlineLevel="0" collapsed="false">
      <c r="A38" s="2" t="n">
        <v>37</v>
      </c>
      <c r="B38" s="3" t="n">
        <v>52</v>
      </c>
      <c r="C38" s="13" t="s">
        <v>246</v>
      </c>
      <c r="D38" s="2" t="s">
        <v>357</v>
      </c>
      <c r="E38" s="2" t="s">
        <v>348</v>
      </c>
      <c r="F38" s="10" t="s">
        <v>72</v>
      </c>
      <c r="G38" s="2" t="s">
        <v>73</v>
      </c>
      <c r="H38" s="2" t="s">
        <v>358</v>
      </c>
      <c r="I38" s="2" t="s">
        <v>359</v>
      </c>
      <c r="J38" s="2" t="s">
        <v>360</v>
      </c>
      <c r="K38" s="5" t="s">
        <v>361</v>
      </c>
      <c r="L38" s="2" t="s">
        <v>22</v>
      </c>
      <c r="M38" s="2"/>
      <c r="N38" s="2"/>
      <c r="O38" s="2" t="s">
        <v>362</v>
      </c>
      <c r="P38" s="5" t="s">
        <v>354</v>
      </c>
      <c r="Q38" s="11" t="s">
        <v>101</v>
      </c>
      <c r="R38" s="2" t="s">
        <v>363</v>
      </c>
      <c r="S38" s="5" t="s">
        <v>364</v>
      </c>
    </row>
    <row r="39" customFormat="false" ht="23.85" hidden="false" customHeight="false" outlineLevel="0" collapsed="false">
      <c r="A39" s="6" t="n">
        <v>38</v>
      </c>
      <c r="B39" s="7" t="n">
        <v>51</v>
      </c>
      <c r="C39" s="14" t="s">
        <v>246</v>
      </c>
      <c r="D39" s="6" t="s">
        <v>365</v>
      </c>
      <c r="E39" s="6" t="s">
        <v>36</v>
      </c>
      <c r="F39" s="6" t="s">
        <v>22</v>
      </c>
      <c r="G39" s="6" t="s">
        <v>23</v>
      </c>
      <c r="H39" s="6" t="s">
        <v>366</v>
      </c>
      <c r="I39" s="6" t="s">
        <v>38</v>
      </c>
      <c r="J39" s="6" t="s">
        <v>367</v>
      </c>
      <c r="K39" s="9" t="s">
        <v>368</v>
      </c>
      <c r="L39" s="6" t="s">
        <v>22</v>
      </c>
      <c r="M39" s="6" t="s">
        <v>291</v>
      </c>
      <c r="N39" s="6" t="s">
        <v>369</v>
      </c>
      <c r="O39" s="6" t="s">
        <v>370</v>
      </c>
      <c r="P39" s="9" t="s">
        <v>371</v>
      </c>
      <c r="Q39" s="9"/>
      <c r="R39" s="6" t="s">
        <v>372</v>
      </c>
      <c r="S39" s="9" t="s">
        <v>373</v>
      </c>
    </row>
    <row r="40" customFormat="false" ht="35.05" hidden="false" customHeight="false" outlineLevel="0" collapsed="false">
      <c r="A40" s="2" t="n">
        <v>39</v>
      </c>
      <c r="B40" s="3" t="n">
        <v>51</v>
      </c>
      <c r="C40" s="13" t="s">
        <v>246</v>
      </c>
      <c r="D40" s="2" t="s">
        <v>374</v>
      </c>
      <c r="E40" s="2" t="s">
        <v>257</v>
      </c>
      <c r="F40" s="2" t="s">
        <v>22</v>
      </c>
      <c r="G40" s="2" t="s">
        <v>23</v>
      </c>
      <c r="H40" s="2" t="s">
        <v>375</v>
      </c>
      <c r="I40" s="2" t="s">
        <v>174</v>
      </c>
      <c r="J40" s="2" t="s">
        <v>376</v>
      </c>
      <c r="K40" s="5" t="s">
        <v>377</v>
      </c>
      <c r="L40" s="2" t="s">
        <v>22</v>
      </c>
      <c r="M40" s="2" t="s">
        <v>261</v>
      </c>
      <c r="N40" s="2" t="s">
        <v>378</v>
      </c>
      <c r="O40" s="2" t="s">
        <v>379</v>
      </c>
      <c r="P40" s="5" t="s">
        <v>380</v>
      </c>
      <c r="Q40" s="5"/>
      <c r="R40" s="2" t="s">
        <v>381</v>
      </c>
      <c r="S40" s="5" t="s">
        <v>382</v>
      </c>
    </row>
    <row r="41" customFormat="false" ht="35.05" hidden="false" customHeight="false" outlineLevel="0" collapsed="false">
      <c r="A41" s="6" t="n">
        <v>40</v>
      </c>
      <c r="B41" s="7" t="n">
        <v>50</v>
      </c>
      <c r="C41" s="14" t="s">
        <v>246</v>
      </c>
      <c r="D41" s="6" t="s">
        <v>383</v>
      </c>
      <c r="E41" s="6" t="s">
        <v>114</v>
      </c>
      <c r="F41" s="10" t="s">
        <v>72</v>
      </c>
      <c r="G41" s="6" t="s">
        <v>73</v>
      </c>
      <c r="H41" s="6" t="s">
        <v>384</v>
      </c>
      <c r="I41" s="6" t="s">
        <v>25</v>
      </c>
      <c r="J41" s="6" t="s">
        <v>385</v>
      </c>
      <c r="K41" s="9" t="s">
        <v>386</v>
      </c>
      <c r="L41" s="6" t="s">
        <v>22</v>
      </c>
      <c r="M41" s="6"/>
      <c r="N41" s="6"/>
      <c r="O41" s="6" t="s">
        <v>387</v>
      </c>
      <c r="P41" s="9" t="s">
        <v>388</v>
      </c>
      <c r="Q41" s="12" t="s">
        <v>101</v>
      </c>
      <c r="R41" s="6"/>
      <c r="S41" s="9"/>
    </row>
    <row r="42" customFormat="false" ht="35.05" hidden="false" customHeight="false" outlineLevel="0" collapsed="false">
      <c r="A42" s="2" t="n">
        <v>41</v>
      </c>
      <c r="B42" s="3" t="n">
        <v>50</v>
      </c>
      <c r="C42" s="13" t="s">
        <v>246</v>
      </c>
      <c r="D42" s="2" t="s">
        <v>389</v>
      </c>
      <c r="E42" s="2" t="s">
        <v>114</v>
      </c>
      <c r="F42" s="10" t="s">
        <v>72</v>
      </c>
      <c r="G42" s="2" t="s">
        <v>73</v>
      </c>
      <c r="H42" s="2" t="s">
        <v>390</v>
      </c>
      <c r="I42" s="2" t="s">
        <v>180</v>
      </c>
      <c r="J42" s="2" t="s">
        <v>391</v>
      </c>
      <c r="K42" s="5" t="s">
        <v>392</v>
      </c>
      <c r="L42" s="2" t="s">
        <v>22</v>
      </c>
      <c r="M42" s="2"/>
      <c r="N42" s="2"/>
      <c r="O42" s="2" t="s">
        <v>393</v>
      </c>
      <c r="P42" s="5" t="s">
        <v>388</v>
      </c>
      <c r="Q42" s="11" t="s">
        <v>101</v>
      </c>
      <c r="R42" s="2"/>
      <c r="S42" s="5"/>
    </row>
    <row r="43" customFormat="false" ht="35.05" hidden="false" customHeight="false" outlineLevel="0" collapsed="false">
      <c r="A43" s="6" t="n">
        <v>42</v>
      </c>
      <c r="B43" s="7" t="n">
        <v>49</v>
      </c>
      <c r="C43" s="14" t="s">
        <v>246</v>
      </c>
      <c r="D43" s="6" t="s">
        <v>394</v>
      </c>
      <c r="E43" s="6" t="s">
        <v>114</v>
      </c>
      <c r="F43" s="10" t="s">
        <v>72</v>
      </c>
      <c r="G43" s="6" t="s">
        <v>73</v>
      </c>
      <c r="H43" s="6"/>
      <c r="I43" s="6"/>
      <c r="J43" s="6" t="s">
        <v>193</v>
      </c>
      <c r="K43" s="9" t="s">
        <v>395</v>
      </c>
      <c r="L43" s="6" t="s">
        <v>22</v>
      </c>
      <c r="M43" s="6"/>
      <c r="N43" s="6"/>
      <c r="O43" s="6" t="s">
        <v>396</v>
      </c>
      <c r="P43" s="9" t="s">
        <v>397</v>
      </c>
      <c r="Q43" s="12" t="s">
        <v>101</v>
      </c>
      <c r="R43" s="6" t="s">
        <v>147</v>
      </c>
      <c r="S43" s="9"/>
    </row>
    <row r="44" customFormat="false" ht="23.85" hidden="false" customHeight="false" outlineLevel="0" collapsed="false">
      <c r="A44" s="2" t="n">
        <v>43</v>
      </c>
      <c r="B44" s="3" t="n">
        <v>49</v>
      </c>
      <c r="C44" s="13" t="s">
        <v>246</v>
      </c>
      <c r="D44" s="2" t="s">
        <v>398</v>
      </c>
      <c r="E44" s="2" t="s">
        <v>59</v>
      </c>
      <c r="F44" s="2" t="s">
        <v>22</v>
      </c>
      <c r="G44" s="2" t="s">
        <v>23</v>
      </c>
      <c r="H44" s="2" t="s">
        <v>399</v>
      </c>
      <c r="I44" s="2" t="s">
        <v>61</v>
      </c>
      <c r="J44" s="2" t="s">
        <v>400</v>
      </c>
      <c r="K44" s="5" t="s">
        <v>401</v>
      </c>
      <c r="L44" s="2" t="s">
        <v>22</v>
      </c>
      <c r="M44" s="2" t="s">
        <v>402</v>
      </c>
      <c r="N44" s="2" t="s">
        <v>403</v>
      </c>
      <c r="O44" s="2" t="s">
        <v>404</v>
      </c>
      <c r="P44" s="5" t="s">
        <v>405</v>
      </c>
      <c r="Q44" s="5"/>
      <c r="R44" s="2" t="s">
        <v>406</v>
      </c>
      <c r="S44" s="5" t="s">
        <v>407</v>
      </c>
    </row>
    <row r="45" customFormat="false" ht="35.05" hidden="false" customHeight="false" outlineLevel="0" collapsed="false">
      <c r="A45" s="6" t="n">
        <v>44</v>
      </c>
      <c r="B45" s="7" t="n">
        <v>49</v>
      </c>
      <c r="C45" s="14" t="s">
        <v>246</v>
      </c>
      <c r="D45" s="6" t="s">
        <v>408</v>
      </c>
      <c r="E45" s="6" t="s">
        <v>114</v>
      </c>
      <c r="F45" s="10" t="s">
        <v>72</v>
      </c>
      <c r="G45" s="6" t="s">
        <v>73</v>
      </c>
      <c r="H45" s="6"/>
      <c r="I45" s="6"/>
      <c r="J45" s="6" t="s">
        <v>193</v>
      </c>
      <c r="K45" s="9" t="s">
        <v>409</v>
      </c>
      <c r="L45" s="6" t="s">
        <v>22</v>
      </c>
      <c r="M45" s="6"/>
      <c r="N45" s="6"/>
      <c r="O45" s="6" t="s">
        <v>410</v>
      </c>
      <c r="P45" s="9" t="s">
        <v>397</v>
      </c>
      <c r="Q45" s="12" t="s">
        <v>101</v>
      </c>
      <c r="R45" s="6" t="s">
        <v>147</v>
      </c>
      <c r="S45" s="9" t="s">
        <v>411</v>
      </c>
    </row>
    <row r="46" customFormat="false" ht="35.05" hidden="false" customHeight="false" outlineLevel="0" collapsed="false">
      <c r="A46" s="2" t="n">
        <v>45</v>
      </c>
      <c r="B46" s="3" t="n">
        <v>49</v>
      </c>
      <c r="C46" s="13" t="s">
        <v>246</v>
      </c>
      <c r="D46" s="2" t="s">
        <v>412</v>
      </c>
      <c r="E46" s="2" t="s">
        <v>36</v>
      </c>
      <c r="F46" s="2" t="s">
        <v>22</v>
      </c>
      <c r="G46" s="2" t="s">
        <v>23</v>
      </c>
      <c r="H46" s="2" t="s">
        <v>413</v>
      </c>
      <c r="I46" s="2" t="s">
        <v>85</v>
      </c>
      <c r="J46" s="2" t="s">
        <v>414</v>
      </c>
      <c r="K46" s="5" t="s">
        <v>415</v>
      </c>
      <c r="L46" s="2" t="s">
        <v>28</v>
      </c>
      <c r="M46" s="2" t="s">
        <v>215</v>
      </c>
      <c r="N46" s="2" t="s">
        <v>416</v>
      </c>
      <c r="O46" s="2" t="s">
        <v>417</v>
      </c>
      <c r="P46" s="5" t="s">
        <v>418</v>
      </c>
      <c r="Q46" s="5"/>
      <c r="R46" s="2" t="s">
        <v>219</v>
      </c>
      <c r="S46" s="5" t="s">
        <v>419</v>
      </c>
    </row>
    <row r="47" customFormat="false" ht="23.85" hidden="false" customHeight="false" outlineLevel="0" collapsed="false">
      <c r="A47" s="6" t="n">
        <v>46</v>
      </c>
      <c r="B47" s="7" t="n">
        <v>49</v>
      </c>
      <c r="C47" s="14" t="s">
        <v>246</v>
      </c>
      <c r="D47" s="6" t="s">
        <v>420</v>
      </c>
      <c r="E47" s="6" t="s">
        <v>36</v>
      </c>
      <c r="F47" s="6" t="s">
        <v>22</v>
      </c>
      <c r="G47" s="6" t="s">
        <v>23</v>
      </c>
      <c r="H47" s="6" t="s">
        <v>421</v>
      </c>
      <c r="I47" s="6" t="s">
        <v>38</v>
      </c>
      <c r="J47" s="6" t="s">
        <v>422</v>
      </c>
      <c r="K47" s="9" t="s">
        <v>423</v>
      </c>
      <c r="L47" s="6" t="s">
        <v>28</v>
      </c>
      <c r="M47" s="6" t="s">
        <v>424</v>
      </c>
      <c r="N47" s="6" t="s">
        <v>425</v>
      </c>
      <c r="O47" s="6" t="s">
        <v>426</v>
      </c>
      <c r="P47" s="9" t="s">
        <v>427</v>
      </c>
      <c r="Q47" s="9"/>
      <c r="R47" s="6" t="s">
        <v>428</v>
      </c>
      <c r="S47" s="9" t="s">
        <v>429</v>
      </c>
    </row>
    <row r="48" customFormat="false" ht="23.85" hidden="false" customHeight="false" outlineLevel="0" collapsed="false">
      <c r="A48" s="2" t="n">
        <v>47</v>
      </c>
      <c r="B48" s="3" t="n">
        <v>47</v>
      </c>
      <c r="C48" s="13" t="s">
        <v>246</v>
      </c>
      <c r="D48" s="2" t="s">
        <v>430</v>
      </c>
      <c r="E48" s="2" t="s">
        <v>36</v>
      </c>
      <c r="F48" s="2" t="s">
        <v>22</v>
      </c>
      <c r="G48" s="2" t="s">
        <v>23</v>
      </c>
      <c r="H48" s="2" t="s">
        <v>431</v>
      </c>
      <c r="I48" s="2" t="s">
        <v>180</v>
      </c>
      <c r="J48" s="2" t="s">
        <v>432</v>
      </c>
      <c r="K48" s="5" t="s">
        <v>433</v>
      </c>
      <c r="L48" s="2" t="s">
        <v>22</v>
      </c>
      <c r="M48" s="2" t="s">
        <v>434</v>
      </c>
      <c r="N48" s="2" t="s">
        <v>435</v>
      </c>
      <c r="O48" s="2" t="s">
        <v>436</v>
      </c>
      <c r="P48" s="5" t="s">
        <v>437</v>
      </c>
      <c r="Q48" s="5"/>
      <c r="R48" s="2" t="s">
        <v>438</v>
      </c>
      <c r="S48" s="5" t="s">
        <v>439</v>
      </c>
    </row>
    <row r="49" customFormat="false" ht="35.05" hidden="false" customHeight="false" outlineLevel="0" collapsed="false">
      <c r="A49" s="6" t="n">
        <v>48</v>
      </c>
      <c r="B49" s="7" t="n">
        <v>46</v>
      </c>
      <c r="C49" s="14" t="s">
        <v>246</v>
      </c>
      <c r="D49" s="6" t="s">
        <v>440</v>
      </c>
      <c r="E49" s="6" t="s">
        <v>59</v>
      </c>
      <c r="F49" s="6" t="s">
        <v>22</v>
      </c>
      <c r="G49" s="6" t="s">
        <v>23</v>
      </c>
      <c r="H49" s="6"/>
      <c r="I49" s="6"/>
      <c r="J49" s="6" t="s">
        <v>193</v>
      </c>
      <c r="K49" s="9" t="s">
        <v>441</v>
      </c>
      <c r="L49" s="6" t="s">
        <v>22</v>
      </c>
      <c r="M49" s="6" t="s">
        <v>442</v>
      </c>
      <c r="N49" s="6" t="s">
        <v>443</v>
      </c>
      <c r="O49" s="6" t="s">
        <v>444</v>
      </c>
      <c r="P49" s="9" t="s">
        <v>445</v>
      </c>
      <c r="Q49" s="9"/>
      <c r="R49" s="6" t="s">
        <v>446</v>
      </c>
      <c r="S49" s="9" t="s">
        <v>447</v>
      </c>
    </row>
    <row r="50" customFormat="false" ht="35.05" hidden="false" customHeight="false" outlineLevel="0" collapsed="false">
      <c r="A50" s="2" t="n">
        <v>49</v>
      </c>
      <c r="B50" s="3" t="n">
        <v>46</v>
      </c>
      <c r="C50" s="13" t="s">
        <v>246</v>
      </c>
      <c r="D50" s="2" t="s">
        <v>448</v>
      </c>
      <c r="E50" s="2" t="s">
        <v>59</v>
      </c>
      <c r="F50" s="2" t="s">
        <v>22</v>
      </c>
      <c r="G50" s="2" t="s">
        <v>23</v>
      </c>
      <c r="H50" s="2"/>
      <c r="I50" s="2"/>
      <c r="J50" s="2" t="s">
        <v>193</v>
      </c>
      <c r="K50" s="5" t="s">
        <v>449</v>
      </c>
      <c r="L50" s="2" t="s">
        <v>28</v>
      </c>
      <c r="M50" s="2" t="s">
        <v>450</v>
      </c>
      <c r="N50" s="2"/>
      <c r="O50" s="2" t="s">
        <v>451</v>
      </c>
      <c r="P50" s="5" t="s">
        <v>452</v>
      </c>
      <c r="Q50" s="11" t="s">
        <v>101</v>
      </c>
      <c r="R50" s="2" t="s">
        <v>438</v>
      </c>
      <c r="S50" s="5" t="s">
        <v>453</v>
      </c>
    </row>
    <row r="51" customFormat="false" ht="35.05" hidden="false" customHeight="false" outlineLevel="0" collapsed="false">
      <c r="A51" s="6" t="n">
        <v>50</v>
      </c>
      <c r="B51" s="7" t="n">
        <v>43</v>
      </c>
      <c r="C51" s="14" t="s">
        <v>246</v>
      </c>
      <c r="D51" s="6" t="s">
        <v>454</v>
      </c>
      <c r="E51" s="6" t="s">
        <v>59</v>
      </c>
      <c r="F51" s="6" t="s">
        <v>22</v>
      </c>
      <c r="G51" s="6" t="s">
        <v>23</v>
      </c>
      <c r="H51" s="6"/>
      <c r="I51" s="6"/>
      <c r="J51" s="6" t="s">
        <v>193</v>
      </c>
      <c r="K51" s="9" t="s">
        <v>455</v>
      </c>
      <c r="L51" s="6" t="s">
        <v>22</v>
      </c>
      <c r="M51" s="6" t="s">
        <v>225</v>
      </c>
      <c r="N51" s="6" t="s">
        <v>456</v>
      </c>
      <c r="O51" s="6" t="s">
        <v>457</v>
      </c>
      <c r="P51" s="9" t="s">
        <v>458</v>
      </c>
      <c r="Q51" s="9"/>
      <c r="R51" s="6" t="s">
        <v>459</v>
      </c>
      <c r="S51" s="9" t="s">
        <v>460</v>
      </c>
    </row>
    <row r="52" customFormat="false" ht="35.05" hidden="false" customHeight="false" outlineLevel="0" collapsed="false">
      <c r="A52" s="2" t="n">
        <v>51</v>
      </c>
      <c r="B52" s="3" t="n">
        <v>43</v>
      </c>
      <c r="C52" s="13" t="s">
        <v>246</v>
      </c>
      <c r="D52" s="2" t="s">
        <v>461</v>
      </c>
      <c r="E52" s="2" t="s">
        <v>59</v>
      </c>
      <c r="F52" s="2" t="s">
        <v>22</v>
      </c>
      <c r="G52" s="2" t="s">
        <v>23</v>
      </c>
      <c r="H52" s="2" t="s">
        <v>462</v>
      </c>
      <c r="I52" s="2" t="s">
        <v>61</v>
      </c>
      <c r="J52" s="2" t="s">
        <v>463</v>
      </c>
      <c r="K52" s="5" t="s">
        <v>464</v>
      </c>
      <c r="L52" s="2" t="s">
        <v>22</v>
      </c>
      <c r="M52" s="2" t="s">
        <v>215</v>
      </c>
      <c r="N52" s="2" t="s">
        <v>465</v>
      </c>
      <c r="O52" s="2" t="s">
        <v>466</v>
      </c>
      <c r="P52" s="5" t="s">
        <v>467</v>
      </c>
      <c r="Q52" s="5"/>
      <c r="R52" s="2" t="s">
        <v>468</v>
      </c>
      <c r="S52" s="5" t="s">
        <v>469</v>
      </c>
    </row>
    <row r="53" customFormat="false" ht="35.05" hidden="false" customHeight="false" outlineLevel="0" collapsed="false">
      <c r="A53" s="6" t="n">
        <v>52</v>
      </c>
      <c r="B53" s="7" t="n">
        <v>41</v>
      </c>
      <c r="C53" s="14" t="s">
        <v>246</v>
      </c>
      <c r="D53" s="6" t="s">
        <v>470</v>
      </c>
      <c r="E53" s="6" t="s">
        <v>257</v>
      </c>
      <c r="F53" s="6" t="s">
        <v>22</v>
      </c>
      <c r="G53" s="6" t="s">
        <v>23</v>
      </c>
      <c r="H53" s="6" t="s">
        <v>471</v>
      </c>
      <c r="I53" s="6" t="s">
        <v>167</v>
      </c>
      <c r="J53" s="6" t="s">
        <v>472</v>
      </c>
      <c r="K53" s="9" t="s">
        <v>473</v>
      </c>
      <c r="L53" s="6" t="s">
        <v>22</v>
      </c>
      <c r="M53" s="6" t="s">
        <v>317</v>
      </c>
      <c r="N53" s="6" t="s">
        <v>474</v>
      </c>
      <c r="O53" s="6" t="s">
        <v>475</v>
      </c>
      <c r="P53" s="9" t="s">
        <v>476</v>
      </c>
      <c r="Q53" s="9"/>
      <c r="R53" s="6" t="s">
        <v>477</v>
      </c>
      <c r="S53" s="9" t="s">
        <v>478</v>
      </c>
    </row>
    <row r="54" customFormat="false" ht="35.05" hidden="false" customHeight="false" outlineLevel="0" collapsed="false">
      <c r="A54" s="2" t="n">
        <v>53</v>
      </c>
      <c r="B54" s="3" t="n">
        <v>41</v>
      </c>
      <c r="C54" s="13" t="s">
        <v>246</v>
      </c>
      <c r="D54" s="2" t="s">
        <v>479</v>
      </c>
      <c r="E54" s="2" t="s">
        <v>257</v>
      </c>
      <c r="F54" s="2" t="s">
        <v>22</v>
      </c>
      <c r="G54" s="2" t="s">
        <v>23</v>
      </c>
      <c r="H54" s="2" t="s">
        <v>480</v>
      </c>
      <c r="I54" s="2" t="s">
        <v>167</v>
      </c>
      <c r="J54" s="2" t="s">
        <v>481</v>
      </c>
      <c r="K54" s="5" t="s">
        <v>482</v>
      </c>
      <c r="L54" s="2" t="s">
        <v>22</v>
      </c>
      <c r="M54" s="2" t="s">
        <v>317</v>
      </c>
      <c r="N54" s="2" t="s">
        <v>483</v>
      </c>
      <c r="O54" s="2" t="s">
        <v>484</v>
      </c>
      <c r="P54" s="5" t="s">
        <v>476</v>
      </c>
      <c r="Q54" s="5"/>
      <c r="R54" s="2" t="s">
        <v>485</v>
      </c>
      <c r="S54" s="5" t="s">
        <v>486</v>
      </c>
    </row>
    <row r="55" customFormat="false" ht="23.85" hidden="false" customHeight="false" outlineLevel="0" collapsed="false">
      <c r="A55" s="6" t="n">
        <v>54</v>
      </c>
      <c r="B55" s="7" t="n">
        <v>41</v>
      </c>
      <c r="C55" s="14" t="s">
        <v>246</v>
      </c>
      <c r="D55" s="6" t="s">
        <v>487</v>
      </c>
      <c r="E55" s="6" t="s">
        <v>257</v>
      </c>
      <c r="F55" s="6" t="s">
        <v>22</v>
      </c>
      <c r="G55" s="6" t="s">
        <v>23</v>
      </c>
      <c r="H55" s="6" t="s">
        <v>488</v>
      </c>
      <c r="I55" s="6" t="s">
        <v>489</v>
      </c>
      <c r="J55" s="6" t="s">
        <v>490</v>
      </c>
      <c r="K55" s="9" t="s">
        <v>491</v>
      </c>
      <c r="L55" s="6" t="s">
        <v>22</v>
      </c>
      <c r="M55" s="6" t="s">
        <v>317</v>
      </c>
      <c r="N55" s="6" t="s">
        <v>492</v>
      </c>
      <c r="O55" s="6" t="s">
        <v>493</v>
      </c>
      <c r="P55" s="9" t="s">
        <v>476</v>
      </c>
      <c r="Q55" s="9"/>
      <c r="R55" s="6" t="s">
        <v>494</v>
      </c>
      <c r="S55" s="9" t="s">
        <v>495</v>
      </c>
    </row>
    <row r="56" customFormat="false" ht="23.85" hidden="false" customHeight="false" outlineLevel="0" collapsed="false">
      <c r="A56" s="2" t="n">
        <v>55</v>
      </c>
      <c r="B56" s="3" t="n">
        <v>41</v>
      </c>
      <c r="C56" s="13" t="s">
        <v>246</v>
      </c>
      <c r="D56" s="2" t="s">
        <v>496</v>
      </c>
      <c r="E56" s="2" t="s">
        <v>257</v>
      </c>
      <c r="F56" s="2" t="s">
        <v>22</v>
      </c>
      <c r="G56" s="2" t="s">
        <v>23</v>
      </c>
      <c r="H56" s="2" t="s">
        <v>497</v>
      </c>
      <c r="I56" s="2" t="s">
        <v>116</v>
      </c>
      <c r="J56" s="2" t="s">
        <v>498</v>
      </c>
      <c r="K56" s="5" t="s">
        <v>499</v>
      </c>
      <c r="L56" s="2" t="s">
        <v>22</v>
      </c>
      <c r="M56" s="2" t="s">
        <v>317</v>
      </c>
      <c r="N56" s="2" t="s">
        <v>500</v>
      </c>
      <c r="O56" s="2" t="s">
        <v>501</v>
      </c>
      <c r="P56" s="5" t="s">
        <v>476</v>
      </c>
      <c r="Q56" s="5"/>
      <c r="R56" s="2" t="s">
        <v>502</v>
      </c>
      <c r="S56" s="5" t="s">
        <v>503</v>
      </c>
    </row>
    <row r="57" customFormat="false" ht="35.05" hidden="false" customHeight="false" outlineLevel="0" collapsed="false">
      <c r="A57" s="6" t="n">
        <v>56</v>
      </c>
      <c r="B57" s="7" t="n">
        <v>41</v>
      </c>
      <c r="C57" s="14" t="s">
        <v>246</v>
      </c>
      <c r="D57" s="6" t="s">
        <v>504</v>
      </c>
      <c r="E57" s="6" t="s">
        <v>257</v>
      </c>
      <c r="F57" s="6" t="s">
        <v>22</v>
      </c>
      <c r="G57" s="6" t="s">
        <v>23</v>
      </c>
      <c r="H57" s="6" t="s">
        <v>505</v>
      </c>
      <c r="I57" s="6" t="s">
        <v>506</v>
      </c>
      <c r="J57" s="6" t="s">
        <v>507</v>
      </c>
      <c r="K57" s="9" t="s">
        <v>508</v>
      </c>
      <c r="L57" s="6" t="s">
        <v>22</v>
      </c>
      <c r="M57" s="6" t="s">
        <v>317</v>
      </c>
      <c r="N57" s="6" t="s">
        <v>509</v>
      </c>
      <c r="O57" s="6" t="s">
        <v>510</v>
      </c>
      <c r="P57" s="9" t="s">
        <v>476</v>
      </c>
      <c r="Q57" s="9"/>
      <c r="R57" s="6" t="s">
        <v>511</v>
      </c>
      <c r="S57" s="9" t="s">
        <v>512</v>
      </c>
    </row>
    <row r="58" customFormat="false" ht="23.85" hidden="false" customHeight="false" outlineLevel="0" collapsed="false">
      <c r="A58" s="2" t="n">
        <v>57</v>
      </c>
      <c r="B58" s="3" t="n">
        <v>41</v>
      </c>
      <c r="C58" s="13" t="s">
        <v>246</v>
      </c>
      <c r="D58" s="2" t="s">
        <v>513</v>
      </c>
      <c r="E58" s="2" t="s">
        <v>257</v>
      </c>
      <c r="F58" s="2" t="s">
        <v>22</v>
      </c>
      <c r="G58" s="2" t="s">
        <v>23</v>
      </c>
      <c r="H58" s="2" t="s">
        <v>514</v>
      </c>
      <c r="I58" s="2" t="s">
        <v>515</v>
      </c>
      <c r="J58" s="2" t="s">
        <v>516</v>
      </c>
      <c r="K58" s="5" t="s">
        <v>517</v>
      </c>
      <c r="L58" s="2" t="s">
        <v>22</v>
      </c>
      <c r="M58" s="2" t="s">
        <v>518</v>
      </c>
      <c r="N58" s="2" t="s">
        <v>519</v>
      </c>
      <c r="O58" s="2" t="s">
        <v>520</v>
      </c>
      <c r="P58" s="5" t="s">
        <v>476</v>
      </c>
      <c r="Q58" s="5"/>
      <c r="R58" s="2" t="s">
        <v>521</v>
      </c>
      <c r="S58" s="5" t="s">
        <v>522</v>
      </c>
    </row>
    <row r="59" customFormat="false" ht="23.85" hidden="false" customHeight="false" outlineLevel="0" collapsed="false">
      <c r="A59" s="6" t="n">
        <v>58</v>
      </c>
      <c r="B59" s="7" t="n">
        <v>41</v>
      </c>
      <c r="C59" s="14" t="s">
        <v>246</v>
      </c>
      <c r="D59" s="6" t="s">
        <v>523</v>
      </c>
      <c r="E59" s="6" t="s">
        <v>257</v>
      </c>
      <c r="F59" s="6" t="s">
        <v>22</v>
      </c>
      <c r="G59" s="6" t="s">
        <v>23</v>
      </c>
      <c r="H59" s="6" t="s">
        <v>524</v>
      </c>
      <c r="I59" s="6" t="s">
        <v>174</v>
      </c>
      <c r="J59" s="6" t="s">
        <v>525</v>
      </c>
      <c r="K59" s="9" t="s">
        <v>526</v>
      </c>
      <c r="L59" s="6" t="s">
        <v>22</v>
      </c>
      <c r="M59" s="6" t="s">
        <v>317</v>
      </c>
      <c r="N59" s="6" t="s">
        <v>527</v>
      </c>
      <c r="O59" s="6" t="s">
        <v>528</v>
      </c>
      <c r="P59" s="9" t="s">
        <v>476</v>
      </c>
      <c r="Q59" s="9"/>
      <c r="R59" s="6" t="s">
        <v>529</v>
      </c>
      <c r="S59" s="9" t="s">
        <v>530</v>
      </c>
    </row>
    <row r="60" customFormat="false" ht="23.85" hidden="false" customHeight="false" outlineLevel="0" collapsed="false">
      <c r="A60" s="2" t="n">
        <v>59</v>
      </c>
      <c r="B60" s="3" t="n">
        <v>41</v>
      </c>
      <c r="C60" s="13" t="s">
        <v>246</v>
      </c>
      <c r="D60" s="2" t="s">
        <v>531</v>
      </c>
      <c r="E60" s="2" t="s">
        <v>36</v>
      </c>
      <c r="F60" s="2" t="s">
        <v>22</v>
      </c>
      <c r="G60" s="2" t="s">
        <v>23</v>
      </c>
      <c r="H60" s="2" t="s">
        <v>462</v>
      </c>
      <c r="I60" s="2" t="s">
        <v>532</v>
      </c>
      <c r="J60" s="2" t="s">
        <v>533</v>
      </c>
      <c r="K60" s="5" t="s">
        <v>534</v>
      </c>
      <c r="L60" s="2" t="s">
        <v>22</v>
      </c>
      <c r="M60" s="2" t="s">
        <v>215</v>
      </c>
      <c r="N60" s="2" t="s">
        <v>535</v>
      </c>
      <c r="O60" s="2" t="s">
        <v>536</v>
      </c>
      <c r="P60" s="5" t="s">
        <v>537</v>
      </c>
      <c r="Q60" s="5"/>
      <c r="R60" s="2" t="s">
        <v>468</v>
      </c>
      <c r="S60" s="5" t="s">
        <v>538</v>
      </c>
    </row>
    <row r="61" customFormat="false" ht="35.05" hidden="false" customHeight="false" outlineLevel="0" collapsed="false">
      <c r="A61" s="6" t="n">
        <v>60</v>
      </c>
      <c r="B61" s="7" t="n">
        <v>41</v>
      </c>
      <c r="C61" s="14" t="s">
        <v>246</v>
      </c>
      <c r="D61" s="6" t="s">
        <v>539</v>
      </c>
      <c r="E61" s="6" t="s">
        <v>257</v>
      </c>
      <c r="F61" s="6" t="s">
        <v>22</v>
      </c>
      <c r="G61" s="6" t="s">
        <v>23</v>
      </c>
      <c r="H61" s="6" t="s">
        <v>540</v>
      </c>
      <c r="I61" s="6" t="s">
        <v>174</v>
      </c>
      <c r="J61" s="6" t="s">
        <v>541</v>
      </c>
      <c r="K61" s="9" t="s">
        <v>542</v>
      </c>
      <c r="L61" s="6" t="s">
        <v>22</v>
      </c>
      <c r="M61" s="6" t="s">
        <v>317</v>
      </c>
      <c r="N61" s="6" t="s">
        <v>543</v>
      </c>
      <c r="O61" s="6" t="s">
        <v>544</v>
      </c>
      <c r="P61" s="9" t="s">
        <v>476</v>
      </c>
      <c r="Q61" s="9"/>
      <c r="R61" s="6" t="s">
        <v>545</v>
      </c>
      <c r="S61" s="9" t="s">
        <v>546</v>
      </c>
    </row>
    <row r="62" customFormat="false" ht="35.05" hidden="false" customHeight="false" outlineLevel="0" collapsed="false">
      <c r="A62" s="2" t="n">
        <v>61</v>
      </c>
      <c r="B62" s="3" t="n">
        <v>41</v>
      </c>
      <c r="C62" s="13" t="s">
        <v>246</v>
      </c>
      <c r="D62" s="2" t="s">
        <v>547</v>
      </c>
      <c r="E62" s="2" t="s">
        <v>48</v>
      </c>
      <c r="F62" s="2" t="s">
        <v>22</v>
      </c>
      <c r="G62" s="2" t="s">
        <v>23</v>
      </c>
      <c r="H62" s="2"/>
      <c r="I62" s="2"/>
      <c r="J62" s="2" t="s">
        <v>193</v>
      </c>
      <c r="K62" s="5" t="s">
        <v>548</v>
      </c>
      <c r="L62" s="2" t="s">
        <v>22</v>
      </c>
      <c r="M62" s="2" t="s">
        <v>261</v>
      </c>
      <c r="N62" s="2" t="s">
        <v>549</v>
      </c>
      <c r="O62" s="2" t="s">
        <v>550</v>
      </c>
      <c r="P62" s="5" t="s">
        <v>551</v>
      </c>
      <c r="Q62" s="5"/>
      <c r="R62" s="2" t="s">
        <v>552</v>
      </c>
      <c r="S62" s="5" t="s">
        <v>553</v>
      </c>
    </row>
    <row r="63" customFormat="false" ht="23.85" hidden="false" customHeight="false" outlineLevel="0" collapsed="false">
      <c r="A63" s="6" t="n">
        <v>62</v>
      </c>
      <c r="B63" s="7" t="n">
        <v>41</v>
      </c>
      <c r="C63" s="14" t="s">
        <v>246</v>
      </c>
      <c r="D63" s="6" t="s">
        <v>554</v>
      </c>
      <c r="E63" s="6" t="s">
        <v>257</v>
      </c>
      <c r="F63" s="6" t="s">
        <v>22</v>
      </c>
      <c r="G63" s="6" t="s">
        <v>23</v>
      </c>
      <c r="H63" s="6" t="s">
        <v>555</v>
      </c>
      <c r="I63" s="6" t="s">
        <v>556</v>
      </c>
      <c r="J63" s="6" t="s">
        <v>557</v>
      </c>
      <c r="K63" s="9" t="s">
        <v>558</v>
      </c>
      <c r="L63" s="6" t="s">
        <v>22</v>
      </c>
      <c r="M63" s="6" t="s">
        <v>317</v>
      </c>
      <c r="N63" s="6" t="s">
        <v>559</v>
      </c>
      <c r="O63" s="6" t="s">
        <v>560</v>
      </c>
      <c r="P63" s="9" t="s">
        <v>476</v>
      </c>
      <c r="Q63" s="9"/>
      <c r="R63" s="6" t="s">
        <v>561</v>
      </c>
      <c r="S63" s="9" t="s">
        <v>562</v>
      </c>
    </row>
    <row r="64" customFormat="false" ht="35.05" hidden="false" customHeight="false" outlineLevel="0" collapsed="false">
      <c r="A64" s="2" t="n">
        <v>63</v>
      </c>
      <c r="B64" s="3" t="n">
        <v>41</v>
      </c>
      <c r="C64" s="13" t="s">
        <v>246</v>
      </c>
      <c r="D64" s="2" t="s">
        <v>563</v>
      </c>
      <c r="E64" s="2" t="s">
        <v>257</v>
      </c>
      <c r="F64" s="2" t="s">
        <v>22</v>
      </c>
      <c r="G64" s="2" t="s">
        <v>23</v>
      </c>
      <c r="H64" s="2" t="s">
        <v>564</v>
      </c>
      <c r="I64" s="2" t="s">
        <v>506</v>
      </c>
      <c r="J64" s="2" t="s">
        <v>565</v>
      </c>
      <c r="K64" s="5" t="s">
        <v>566</v>
      </c>
      <c r="L64" s="2" t="s">
        <v>22</v>
      </c>
      <c r="M64" s="2" t="s">
        <v>567</v>
      </c>
      <c r="N64" s="2" t="s">
        <v>568</v>
      </c>
      <c r="O64" s="2" t="s">
        <v>569</v>
      </c>
      <c r="P64" s="5" t="s">
        <v>476</v>
      </c>
      <c r="Q64" s="5"/>
      <c r="R64" s="2" t="s">
        <v>570</v>
      </c>
      <c r="S64" s="5" t="s">
        <v>571</v>
      </c>
    </row>
    <row r="65" customFormat="false" ht="35.05" hidden="false" customHeight="false" outlineLevel="0" collapsed="false">
      <c r="A65" s="6" t="n">
        <v>64</v>
      </c>
      <c r="B65" s="7" t="n">
        <v>40</v>
      </c>
      <c r="C65" s="14" t="s">
        <v>246</v>
      </c>
      <c r="D65" s="6" t="s">
        <v>572</v>
      </c>
      <c r="E65" s="6" t="s">
        <v>573</v>
      </c>
      <c r="F65" s="15" t="s">
        <v>574</v>
      </c>
      <c r="G65" s="6" t="s">
        <v>23</v>
      </c>
      <c r="H65" s="6" t="s">
        <v>575</v>
      </c>
      <c r="I65" s="6" t="s">
        <v>576</v>
      </c>
      <c r="J65" s="6" t="s">
        <v>577</v>
      </c>
      <c r="K65" s="9" t="s">
        <v>578</v>
      </c>
      <c r="L65" s="6" t="s">
        <v>22</v>
      </c>
      <c r="M65" s="6"/>
      <c r="N65" s="6" t="s">
        <v>579</v>
      </c>
      <c r="O65" s="6" t="s">
        <v>580</v>
      </c>
      <c r="P65" s="9" t="s">
        <v>581</v>
      </c>
      <c r="Q65" s="9"/>
      <c r="R65" s="6" t="s">
        <v>582</v>
      </c>
      <c r="S65" s="9" t="s">
        <v>583</v>
      </c>
    </row>
    <row r="66" customFormat="false" ht="35.05" hidden="false" customHeight="false" outlineLevel="0" collapsed="false">
      <c r="A66" s="2" t="n">
        <v>65</v>
      </c>
      <c r="B66" s="3" t="n">
        <v>40</v>
      </c>
      <c r="C66" s="13" t="s">
        <v>246</v>
      </c>
      <c r="D66" s="2" t="s">
        <v>584</v>
      </c>
      <c r="E66" s="2" t="s">
        <v>71</v>
      </c>
      <c r="F66" s="15" t="s">
        <v>574</v>
      </c>
      <c r="G66" s="2" t="s">
        <v>23</v>
      </c>
      <c r="H66" s="2" t="s">
        <v>585</v>
      </c>
      <c r="I66" s="2" t="s">
        <v>586</v>
      </c>
      <c r="J66" s="2" t="s">
        <v>587</v>
      </c>
      <c r="K66" s="5" t="s">
        <v>588</v>
      </c>
      <c r="L66" s="2" t="s">
        <v>22</v>
      </c>
      <c r="M66" s="2"/>
      <c r="N66" s="2" t="s">
        <v>589</v>
      </c>
      <c r="O66" s="2" t="s">
        <v>590</v>
      </c>
      <c r="P66" s="5" t="s">
        <v>581</v>
      </c>
      <c r="Q66" s="5"/>
      <c r="R66" s="2" t="s">
        <v>591</v>
      </c>
      <c r="S66" s="5"/>
    </row>
    <row r="67" customFormat="false" ht="35.05" hidden="false" customHeight="false" outlineLevel="0" collapsed="false">
      <c r="A67" s="6" t="n">
        <v>66</v>
      </c>
      <c r="B67" s="7" t="n">
        <v>40</v>
      </c>
      <c r="C67" s="14" t="s">
        <v>246</v>
      </c>
      <c r="D67" s="6" t="s">
        <v>592</v>
      </c>
      <c r="E67" s="6" t="s">
        <v>593</v>
      </c>
      <c r="F67" s="15" t="s">
        <v>574</v>
      </c>
      <c r="G67" s="6" t="s">
        <v>23</v>
      </c>
      <c r="H67" s="6" t="s">
        <v>594</v>
      </c>
      <c r="I67" s="6" t="s">
        <v>595</v>
      </c>
      <c r="J67" s="6" t="s">
        <v>596</v>
      </c>
      <c r="K67" s="9" t="s">
        <v>597</v>
      </c>
      <c r="L67" s="6" t="s">
        <v>22</v>
      </c>
      <c r="M67" s="6"/>
      <c r="N67" s="6" t="s">
        <v>598</v>
      </c>
      <c r="O67" s="6" t="s">
        <v>599</v>
      </c>
      <c r="P67" s="9" t="s">
        <v>581</v>
      </c>
      <c r="Q67" s="9"/>
      <c r="R67" s="6" t="s">
        <v>600</v>
      </c>
      <c r="S67" s="9" t="s">
        <v>601</v>
      </c>
    </row>
    <row r="68" customFormat="false" ht="23.85" hidden="false" customHeight="false" outlineLevel="0" collapsed="false">
      <c r="A68" s="2" t="n">
        <v>67</v>
      </c>
      <c r="B68" s="3" t="n">
        <v>39</v>
      </c>
      <c r="C68" s="13" t="s">
        <v>246</v>
      </c>
      <c r="D68" s="2" t="s">
        <v>602</v>
      </c>
      <c r="E68" s="2" t="s">
        <v>59</v>
      </c>
      <c r="F68" s="2" t="s">
        <v>22</v>
      </c>
      <c r="G68" s="2" t="s">
        <v>23</v>
      </c>
      <c r="H68" s="2" t="s">
        <v>603</v>
      </c>
      <c r="I68" s="2" t="s">
        <v>61</v>
      </c>
      <c r="J68" s="2" t="s">
        <v>604</v>
      </c>
      <c r="K68" s="5" t="s">
        <v>605</v>
      </c>
      <c r="L68" s="2" t="s">
        <v>22</v>
      </c>
      <c r="M68" s="2" t="s">
        <v>606</v>
      </c>
      <c r="N68" s="2" t="s">
        <v>607</v>
      </c>
      <c r="O68" s="2" t="s">
        <v>608</v>
      </c>
      <c r="P68" s="5" t="s">
        <v>609</v>
      </c>
      <c r="Q68" s="5"/>
      <c r="R68" s="2" t="s">
        <v>56</v>
      </c>
      <c r="S68" s="5" t="s">
        <v>610</v>
      </c>
    </row>
    <row r="69" customFormat="false" ht="35.05" hidden="false" customHeight="false" outlineLevel="0" collapsed="false">
      <c r="A69" s="6" t="n">
        <v>68</v>
      </c>
      <c r="B69" s="7" t="n">
        <v>39</v>
      </c>
      <c r="C69" s="14" t="s">
        <v>246</v>
      </c>
      <c r="D69" s="6" t="s">
        <v>611</v>
      </c>
      <c r="E69" s="6" t="s">
        <v>59</v>
      </c>
      <c r="F69" s="6" t="s">
        <v>22</v>
      </c>
      <c r="G69" s="6" t="s">
        <v>23</v>
      </c>
      <c r="H69" s="6"/>
      <c r="I69" s="6"/>
      <c r="J69" s="6" t="s">
        <v>193</v>
      </c>
      <c r="K69" s="9" t="s">
        <v>612</v>
      </c>
      <c r="L69" s="6" t="s">
        <v>22</v>
      </c>
      <c r="M69" s="6" t="s">
        <v>291</v>
      </c>
      <c r="N69" s="6" t="s">
        <v>613</v>
      </c>
      <c r="O69" s="6" t="s">
        <v>614</v>
      </c>
      <c r="P69" s="9" t="s">
        <v>615</v>
      </c>
      <c r="Q69" s="9"/>
      <c r="R69" s="6" t="s">
        <v>295</v>
      </c>
      <c r="S69" s="9" t="s">
        <v>616</v>
      </c>
    </row>
    <row r="70" customFormat="false" ht="35.05" hidden="false" customHeight="false" outlineLevel="0" collapsed="false">
      <c r="A70" s="2" t="n">
        <v>69</v>
      </c>
      <c r="B70" s="3" t="n">
        <v>38</v>
      </c>
      <c r="C70" s="13" t="s">
        <v>246</v>
      </c>
      <c r="D70" s="2" t="s">
        <v>617</v>
      </c>
      <c r="E70" s="2" t="s">
        <v>618</v>
      </c>
      <c r="F70" s="2" t="s">
        <v>22</v>
      </c>
      <c r="G70" s="2" t="s">
        <v>23</v>
      </c>
      <c r="H70" s="2" t="s">
        <v>619</v>
      </c>
      <c r="I70" s="2" t="s">
        <v>620</v>
      </c>
      <c r="J70" s="2" t="s">
        <v>621</v>
      </c>
      <c r="K70" s="5" t="s">
        <v>622</v>
      </c>
      <c r="L70" s="2" t="s">
        <v>22</v>
      </c>
      <c r="M70" s="2"/>
      <c r="N70" s="2" t="s">
        <v>623</v>
      </c>
      <c r="O70" s="2" t="s">
        <v>624</v>
      </c>
      <c r="P70" s="5" t="s">
        <v>625</v>
      </c>
      <c r="Q70" s="5"/>
      <c r="R70" s="2" t="s">
        <v>626</v>
      </c>
      <c r="S70" s="5"/>
    </row>
    <row r="71" customFormat="false" ht="35.05" hidden="false" customHeight="false" outlineLevel="0" collapsed="false">
      <c r="A71" s="6" t="n">
        <v>70</v>
      </c>
      <c r="B71" s="7" t="n">
        <v>38</v>
      </c>
      <c r="C71" s="14" t="s">
        <v>246</v>
      </c>
      <c r="D71" s="6" t="s">
        <v>627</v>
      </c>
      <c r="E71" s="6" t="s">
        <v>59</v>
      </c>
      <c r="F71" s="6" t="s">
        <v>22</v>
      </c>
      <c r="G71" s="6" t="s">
        <v>23</v>
      </c>
      <c r="H71" s="6"/>
      <c r="I71" s="6"/>
      <c r="J71" s="6" t="s">
        <v>193</v>
      </c>
      <c r="K71" s="9" t="s">
        <v>628</v>
      </c>
      <c r="L71" s="6" t="s">
        <v>22</v>
      </c>
      <c r="M71" s="6" t="s">
        <v>629</v>
      </c>
      <c r="N71" s="6"/>
      <c r="O71" s="6" t="s">
        <v>630</v>
      </c>
      <c r="P71" s="9" t="s">
        <v>631</v>
      </c>
      <c r="Q71" s="12" t="s">
        <v>101</v>
      </c>
      <c r="R71" s="6" t="s">
        <v>632</v>
      </c>
      <c r="S71" s="9" t="s">
        <v>633</v>
      </c>
    </row>
    <row r="72" customFormat="false" ht="35.05" hidden="false" customHeight="false" outlineLevel="0" collapsed="false">
      <c r="A72" s="2" t="n">
        <v>71</v>
      </c>
      <c r="B72" s="3" t="n">
        <v>38</v>
      </c>
      <c r="C72" s="13" t="s">
        <v>246</v>
      </c>
      <c r="D72" s="2" t="s">
        <v>634</v>
      </c>
      <c r="E72" s="2" t="s">
        <v>71</v>
      </c>
      <c r="F72" s="2" t="s">
        <v>22</v>
      </c>
      <c r="G72" s="2" t="s">
        <v>23</v>
      </c>
      <c r="H72" s="2" t="s">
        <v>635</v>
      </c>
      <c r="I72" s="2" t="s">
        <v>556</v>
      </c>
      <c r="J72" s="2" t="s">
        <v>636</v>
      </c>
      <c r="K72" s="5" t="s">
        <v>637</v>
      </c>
      <c r="L72" s="2" t="s">
        <v>22</v>
      </c>
      <c r="M72" s="2"/>
      <c r="N72" s="2" t="s">
        <v>638</v>
      </c>
      <c r="O72" s="2" t="s">
        <v>639</v>
      </c>
      <c r="P72" s="5" t="s">
        <v>625</v>
      </c>
      <c r="Q72" s="5"/>
      <c r="R72" s="2" t="s">
        <v>640</v>
      </c>
      <c r="S72" s="5" t="s">
        <v>641</v>
      </c>
    </row>
    <row r="73" customFormat="false" ht="35.05" hidden="false" customHeight="false" outlineLevel="0" collapsed="false">
      <c r="A73" s="6" t="n">
        <v>72</v>
      </c>
      <c r="B73" s="7" t="n">
        <v>38</v>
      </c>
      <c r="C73" s="14" t="s">
        <v>246</v>
      </c>
      <c r="D73" s="6" t="s">
        <v>642</v>
      </c>
      <c r="E73" s="6" t="s">
        <v>71</v>
      </c>
      <c r="F73" s="6" t="s">
        <v>22</v>
      </c>
      <c r="G73" s="6" t="s">
        <v>23</v>
      </c>
      <c r="H73" s="6" t="s">
        <v>643</v>
      </c>
      <c r="I73" s="6" t="s">
        <v>116</v>
      </c>
      <c r="J73" s="6" t="s">
        <v>644</v>
      </c>
      <c r="K73" s="9" t="s">
        <v>645</v>
      </c>
      <c r="L73" s="6" t="s">
        <v>22</v>
      </c>
      <c r="M73" s="6"/>
      <c r="N73" s="6" t="s">
        <v>646</v>
      </c>
      <c r="O73" s="6" t="s">
        <v>647</v>
      </c>
      <c r="P73" s="9" t="s">
        <v>625</v>
      </c>
      <c r="Q73" s="9"/>
      <c r="R73" s="6" t="s">
        <v>648</v>
      </c>
      <c r="S73" s="9"/>
    </row>
    <row r="74" customFormat="false" ht="35.05" hidden="false" customHeight="false" outlineLevel="0" collapsed="false">
      <c r="A74" s="2" t="n">
        <v>73</v>
      </c>
      <c r="B74" s="3" t="n">
        <v>38</v>
      </c>
      <c r="C74" s="13" t="s">
        <v>246</v>
      </c>
      <c r="D74" s="2" t="s">
        <v>649</v>
      </c>
      <c r="E74" s="2" t="s">
        <v>71</v>
      </c>
      <c r="F74" s="2" t="s">
        <v>22</v>
      </c>
      <c r="G74" s="2" t="s">
        <v>23</v>
      </c>
      <c r="H74" s="2" t="s">
        <v>650</v>
      </c>
      <c r="I74" s="2" t="s">
        <v>651</v>
      </c>
      <c r="J74" s="2" t="s">
        <v>652</v>
      </c>
      <c r="K74" s="5" t="s">
        <v>653</v>
      </c>
      <c r="L74" s="2" t="s">
        <v>22</v>
      </c>
      <c r="M74" s="2"/>
      <c r="N74" s="2" t="s">
        <v>654</v>
      </c>
      <c r="O74" s="2" t="s">
        <v>655</v>
      </c>
      <c r="P74" s="5" t="s">
        <v>625</v>
      </c>
      <c r="Q74" s="5"/>
      <c r="R74" s="2" t="s">
        <v>656</v>
      </c>
      <c r="S74" s="5" t="s">
        <v>657</v>
      </c>
    </row>
    <row r="75" customFormat="false" ht="35.05" hidden="false" customHeight="false" outlineLevel="0" collapsed="false">
      <c r="A75" s="6" t="n">
        <v>74</v>
      </c>
      <c r="B75" s="7" t="n">
        <v>38</v>
      </c>
      <c r="C75" s="14" t="s">
        <v>246</v>
      </c>
      <c r="D75" s="6" t="s">
        <v>658</v>
      </c>
      <c r="E75" s="6" t="s">
        <v>71</v>
      </c>
      <c r="F75" s="6" t="s">
        <v>22</v>
      </c>
      <c r="G75" s="6" t="s">
        <v>23</v>
      </c>
      <c r="H75" s="6" t="s">
        <v>659</v>
      </c>
      <c r="I75" s="6" t="s">
        <v>660</v>
      </c>
      <c r="J75" s="6" t="s">
        <v>661</v>
      </c>
      <c r="K75" s="9" t="s">
        <v>662</v>
      </c>
      <c r="L75" s="6" t="s">
        <v>22</v>
      </c>
      <c r="M75" s="6"/>
      <c r="N75" s="6" t="s">
        <v>663</v>
      </c>
      <c r="O75" s="6" t="s">
        <v>664</v>
      </c>
      <c r="P75" s="9" t="s">
        <v>625</v>
      </c>
      <c r="Q75" s="9"/>
      <c r="R75" s="6" t="s">
        <v>665</v>
      </c>
      <c r="S75" s="9"/>
    </row>
    <row r="76" customFormat="false" ht="35.05" hidden="false" customHeight="false" outlineLevel="0" collapsed="false">
      <c r="A76" s="2" t="n">
        <v>75</v>
      </c>
      <c r="B76" s="3" t="n">
        <v>38</v>
      </c>
      <c r="C76" s="13" t="s">
        <v>246</v>
      </c>
      <c r="D76" s="2" t="s">
        <v>666</v>
      </c>
      <c r="E76" s="2" t="s">
        <v>59</v>
      </c>
      <c r="F76" s="2" t="s">
        <v>22</v>
      </c>
      <c r="G76" s="2" t="s">
        <v>23</v>
      </c>
      <c r="H76" s="2"/>
      <c r="I76" s="2"/>
      <c r="J76" s="2" t="s">
        <v>193</v>
      </c>
      <c r="K76" s="5" t="s">
        <v>667</v>
      </c>
      <c r="L76" s="2" t="s">
        <v>22</v>
      </c>
      <c r="M76" s="2" t="s">
        <v>668</v>
      </c>
      <c r="N76" s="2"/>
      <c r="O76" s="2" t="s">
        <v>669</v>
      </c>
      <c r="P76" s="5" t="s">
        <v>631</v>
      </c>
      <c r="Q76" s="11" t="s">
        <v>101</v>
      </c>
      <c r="R76" s="2" t="s">
        <v>372</v>
      </c>
      <c r="S76" s="5" t="s">
        <v>670</v>
      </c>
    </row>
    <row r="77" customFormat="false" ht="35.05" hidden="false" customHeight="false" outlineLevel="0" collapsed="false">
      <c r="A77" s="6" t="n">
        <v>76</v>
      </c>
      <c r="B77" s="7" t="n">
        <v>37</v>
      </c>
      <c r="C77" s="14" t="s">
        <v>246</v>
      </c>
      <c r="D77" s="6" t="s">
        <v>671</v>
      </c>
      <c r="E77" s="6" t="s">
        <v>36</v>
      </c>
      <c r="F77" s="6" t="s">
        <v>22</v>
      </c>
      <c r="G77" s="6" t="s">
        <v>23</v>
      </c>
      <c r="H77" s="6"/>
      <c r="I77" s="6"/>
      <c r="J77" s="6" t="s">
        <v>193</v>
      </c>
      <c r="K77" s="9" t="s">
        <v>672</v>
      </c>
      <c r="L77" s="6" t="s">
        <v>22</v>
      </c>
      <c r="M77" s="6" t="s">
        <v>673</v>
      </c>
      <c r="N77" s="6" t="s">
        <v>674</v>
      </c>
      <c r="O77" s="6" t="s">
        <v>675</v>
      </c>
      <c r="P77" s="9" t="s">
        <v>676</v>
      </c>
      <c r="Q77" s="9"/>
      <c r="R77" s="6" t="s">
        <v>236</v>
      </c>
      <c r="S77" s="9" t="s">
        <v>677</v>
      </c>
    </row>
    <row r="78" customFormat="false" ht="35.05" hidden="false" customHeight="false" outlineLevel="0" collapsed="false">
      <c r="A78" s="2" t="n">
        <v>77</v>
      </c>
      <c r="B78" s="3" t="n">
        <v>37</v>
      </c>
      <c r="C78" s="13" t="s">
        <v>246</v>
      </c>
      <c r="D78" s="2" t="s">
        <v>678</v>
      </c>
      <c r="E78" s="2" t="s">
        <v>36</v>
      </c>
      <c r="F78" s="2" t="s">
        <v>22</v>
      </c>
      <c r="G78" s="2" t="s">
        <v>23</v>
      </c>
      <c r="H78" s="2"/>
      <c r="I78" s="2"/>
      <c r="J78" s="2" t="s">
        <v>193</v>
      </c>
      <c r="K78" s="5" t="s">
        <v>679</v>
      </c>
      <c r="L78" s="2" t="s">
        <v>22</v>
      </c>
      <c r="M78" s="2" t="s">
        <v>225</v>
      </c>
      <c r="N78" s="2" t="s">
        <v>680</v>
      </c>
      <c r="O78" s="2" t="s">
        <v>681</v>
      </c>
      <c r="P78" s="5" t="s">
        <v>682</v>
      </c>
      <c r="Q78" s="5"/>
      <c r="R78" s="2" t="s">
        <v>236</v>
      </c>
      <c r="S78" s="5" t="s">
        <v>683</v>
      </c>
    </row>
    <row r="79" customFormat="false" ht="35.05" hidden="false" customHeight="false" outlineLevel="0" collapsed="false">
      <c r="A79" s="6" t="n">
        <v>78</v>
      </c>
      <c r="B79" s="7" t="n">
        <v>36</v>
      </c>
      <c r="C79" s="14" t="s">
        <v>246</v>
      </c>
      <c r="D79" s="6" t="s">
        <v>684</v>
      </c>
      <c r="E79" s="6" t="s">
        <v>59</v>
      </c>
      <c r="F79" s="6" t="s">
        <v>22</v>
      </c>
      <c r="G79" s="6" t="s">
        <v>23</v>
      </c>
      <c r="H79" s="6"/>
      <c r="I79" s="6"/>
      <c r="J79" s="6" t="s">
        <v>193</v>
      </c>
      <c r="K79" s="9" t="s">
        <v>685</v>
      </c>
      <c r="L79" s="6" t="s">
        <v>28</v>
      </c>
      <c r="M79" s="6" t="s">
        <v>205</v>
      </c>
      <c r="N79" s="6"/>
      <c r="O79" s="6" t="s">
        <v>686</v>
      </c>
      <c r="P79" s="9" t="s">
        <v>687</v>
      </c>
      <c r="Q79" s="12" t="s">
        <v>101</v>
      </c>
      <c r="R79" s="6" t="s">
        <v>688</v>
      </c>
      <c r="S79" s="9" t="s">
        <v>689</v>
      </c>
    </row>
    <row r="80" customFormat="false" ht="35.05" hidden="false" customHeight="false" outlineLevel="0" collapsed="false">
      <c r="A80" s="2" t="n">
        <v>79</v>
      </c>
      <c r="B80" s="3" t="n">
        <v>34</v>
      </c>
      <c r="C80" s="16" t="s">
        <v>690</v>
      </c>
      <c r="D80" s="2" t="s">
        <v>691</v>
      </c>
      <c r="E80" s="2" t="s">
        <v>59</v>
      </c>
      <c r="F80" s="2" t="s">
        <v>22</v>
      </c>
      <c r="G80" s="2" t="s">
        <v>23</v>
      </c>
      <c r="H80" s="2"/>
      <c r="I80" s="2"/>
      <c r="J80" s="2" t="s">
        <v>193</v>
      </c>
      <c r="K80" s="5" t="s">
        <v>692</v>
      </c>
      <c r="L80" s="2" t="s">
        <v>22</v>
      </c>
      <c r="M80" s="2" t="s">
        <v>64</v>
      </c>
      <c r="N80" s="2"/>
      <c r="O80" s="2" t="s">
        <v>693</v>
      </c>
      <c r="P80" s="5" t="s">
        <v>694</v>
      </c>
      <c r="Q80" s="11" t="s">
        <v>101</v>
      </c>
      <c r="R80" s="2" t="s">
        <v>274</v>
      </c>
      <c r="S80" s="5" t="s">
        <v>695</v>
      </c>
    </row>
    <row r="81" customFormat="false" ht="23.85" hidden="false" customHeight="false" outlineLevel="0" collapsed="false">
      <c r="A81" s="6" t="n">
        <v>80</v>
      </c>
      <c r="B81" s="7" t="n">
        <v>34</v>
      </c>
      <c r="C81" s="17" t="s">
        <v>690</v>
      </c>
      <c r="D81" s="6" t="s">
        <v>696</v>
      </c>
      <c r="E81" s="6" t="s">
        <v>697</v>
      </c>
      <c r="F81" s="15" t="s">
        <v>574</v>
      </c>
      <c r="G81" s="6" t="s">
        <v>23</v>
      </c>
      <c r="H81" s="6" t="s">
        <v>698</v>
      </c>
      <c r="I81" s="6" t="s">
        <v>699</v>
      </c>
      <c r="J81" s="6" t="s">
        <v>700</v>
      </c>
      <c r="K81" s="9" t="s">
        <v>701</v>
      </c>
      <c r="L81" s="6" t="s">
        <v>22</v>
      </c>
      <c r="M81" s="6"/>
      <c r="N81" s="6" t="s">
        <v>702</v>
      </c>
      <c r="O81" s="6" t="s">
        <v>703</v>
      </c>
      <c r="P81" s="9" t="s">
        <v>704</v>
      </c>
      <c r="Q81" s="9"/>
      <c r="R81" s="6" t="s">
        <v>705</v>
      </c>
      <c r="S81" s="9" t="s">
        <v>706</v>
      </c>
    </row>
    <row r="82" customFormat="false" ht="35.05" hidden="false" customHeight="false" outlineLevel="0" collapsed="false">
      <c r="A82" s="2" t="n">
        <v>81</v>
      </c>
      <c r="B82" s="3" t="n">
        <v>34</v>
      </c>
      <c r="C82" s="16" t="s">
        <v>690</v>
      </c>
      <c r="D82" s="2" t="s">
        <v>707</v>
      </c>
      <c r="E82" s="2" t="s">
        <v>36</v>
      </c>
      <c r="F82" s="2" t="s">
        <v>22</v>
      </c>
      <c r="G82" s="2" t="s">
        <v>23</v>
      </c>
      <c r="H82" s="2"/>
      <c r="I82" s="2"/>
      <c r="J82" s="2" t="s">
        <v>193</v>
      </c>
      <c r="K82" s="5" t="s">
        <v>708</v>
      </c>
      <c r="L82" s="2" t="s">
        <v>22</v>
      </c>
      <c r="M82" s="2" t="s">
        <v>709</v>
      </c>
      <c r="N82" s="2" t="s">
        <v>710</v>
      </c>
      <c r="O82" s="2" t="s">
        <v>711</v>
      </c>
      <c r="P82" s="5" t="s">
        <v>712</v>
      </c>
      <c r="Q82" s="5"/>
      <c r="R82" s="2" t="s">
        <v>713</v>
      </c>
      <c r="S82" s="5" t="s">
        <v>714</v>
      </c>
    </row>
    <row r="83" customFormat="false" ht="35.05" hidden="false" customHeight="false" outlineLevel="0" collapsed="false">
      <c r="A83" s="6" t="n">
        <v>82</v>
      </c>
      <c r="B83" s="7" t="n">
        <v>33</v>
      </c>
      <c r="C83" s="17" t="s">
        <v>690</v>
      </c>
      <c r="D83" s="6" t="s">
        <v>715</v>
      </c>
      <c r="E83" s="6" t="s">
        <v>716</v>
      </c>
      <c r="F83" s="6" t="s">
        <v>22</v>
      </c>
      <c r="G83" s="6" t="s">
        <v>23</v>
      </c>
      <c r="H83" s="6" t="s">
        <v>717</v>
      </c>
      <c r="I83" s="6" t="s">
        <v>718</v>
      </c>
      <c r="J83" s="6" t="s">
        <v>719</v>
      </c>
      <c r="K83" s="9" t="s">
        <v>720</v>
      </c>
      <c r="L83" s="6" t="s">
        <v>22</v>
      </c>
      <c r="M83" s="6"/>
      <c r="N83" s="6"/>
      <c r="O83" s="6" t="s">
        <v>721</v>
      </c>
      <c r="P83" s="9" t="s">
        <v>722</v>
      </c>
      <c r="Q83" s="12" t="s">
        <v>101</v>
      </c>
      <c r="R83" s="6" t="s">
        <v>723</v>
      </c>
      <c r="S83" s="9"/>
    </row>
    <row r="84" customFormat="false" ht="35.05" hidden="false" customHeight="false" outlineLevel="0" collapsed="false">
      <c r="A84" s="2" t="n">
        <v>83</v>
      </c>
      <c r="B84" s="3" t="n">
        <v>31</v>
      </c>
      <c r="C84" s="16" t="s">
        <v>690</v>
      </c>
      <c r="D84" s="2" t="s">
        <v>724</v>
      </c>
      <c r="E84" s="2" t="s">
        <v>36</v>
      </c>
      <c r="F84" s="2" t="s">
        <v>22</v>
      </c>
      <c r="G84" s="2" t="s">
        <v>23</v>
      </c>
      <c r="H84" s="2"/>
      <c r="I84" s="2"/>
      <c r="J84" s="2" t="s">
        <v>193</v>
      </c>
      <c r="K84" s="5" t="s">
        <v>725</v>
      </c>
      <c r="L84" s="2" t="s">
        <v>22</v>
      </c>
      <c r="M84" s="2" t="s">
        <v>606</v>
      </c>
      <c r="N84" s="2" t="s">
        <v>726</v>
      </c>
      <c r="O84" s="2" t="s">
        <v>727</v>
      </c>
      <c r="P84" s="5" t="s">
        <v>728</v>
      </c>
      <c r="Q84" s="5"/>
      <c r="R84" s="2" t="s">
        <v>729</v>
      </c>
      <c r="S84" s="5" t="s">
        <v>730</v>
      </c>
    </row>
    <row r="85" customFormat="false" ht="35.05" hidden="false" customHeight="false" outlineLevel="0" collapsed="false">
      <c r="A85" s="6" t="n">
        <v>84</v>
      </c>
      <c r="B85" s="7" t="n">
        <v>31</v>
      </c>
      <c r="C85" s="17" t="s">
        <v>690</v>
      </c>
      <c r="D85" s="6" t="s">
        <v>731</v>
      </c>
      <c r="E85" s="6" t="s">
        <v>48</v>
      </c>
      <c r="F85" s="6" t="s">
        <v>22</v>
      </c>
      <c r="G85" s="6" t="s">
        <v>23</v>
      </c>
      <c r="H85" s="6"/>
      <c r="I85" s="6"/>
      <c r="J85" s="6" t="s">
        <v>193</v>
      </c>
      <c r="K85" s="9" t="s">
        <v>732</v>
      </c>
      <c r="L85" s="6" t="s">
        <v>22</v>
      </c>
      <c r="M85" s="6" t="s">
        <v>317</v>
      </c>
      <c r="N85" s="6" t="s">
        <v>733</v>
      </c>
      <c r="O85" s="6" t="s">
        <v>734</v>
      </c>
      <c r="P85" s="9" t="s">
        <v>735</v>
      </c>
      <c r="Q85" s="9"/>
      <c r="R85" s="6" t="s">
        <v>736</v>
      </c>
      <c r="S85" s="9" t="s">
        <v>737</v>
      </c>
    </row>
    <row r="86" customFormat="false" ht="46.25" hidden="false" customHeight="false" outlineLevel="0" collapsed="false">
      <c r="A86" s="2" t="n">
        <v>85</v>
      </c>
      <c r="B86" s="3" t="n">
        <v>31</v>
      </c>
      <c r="C86" s="16" t="s">
        <v>690</v>
      </c>
      <c r="D86" s="2" t="s">
        <v>738</v>
      </c>
      <c r="E86" s="2" t="s">
        <v>59</v>
      </c>
      <c r="F86" s="2" t="s">
        <v>22</v>
      </c>
      <c r="G86" s="2" t="s">
        <v>23</v>
      </c>
      <c r="H86" s="2" t="s">
        <v>739</v>
      </c>
      <c r="I86" s="2" t="s">
        <v>131</v>
      </c>
      <c r="J86" s="2" t="s">
        <v>740</v>
      </c>
      <c r="K86" s="5" t="s">
        <v>741</v>
      </c>
      <c r="L86" s="2" t="s">
        <v>22</v>
      </c>
      <c r="M86" s="2" t="s">
        <v>606</v>
      </c>
      <c r="N86" s="2"/>
      <c r="O86" s="2" t="s">
        <v>742</v>
      </c>
      <c r="P86" s="5" t="s">
        <v>743</v>
      </c>
      <c r="Q86" s="11" t="s">
        <v>101</v>
      </c>
      <c r="R86" s="2" t="s">
        <v>729</v>
      </c>
      <c r="S86" s="5" t="s">
        <v>744</v>
      </c>
    </row>
    <row r="87" customFormat="false" ht="35.05" hidden="false" customHeight="false" outlineLevel="0" collapsed="false">
      <c r="A87" s="6" t="n">
        <v>86</v>
      </c>
      <c r="B87" s="7" t="n">
        <v>29</v>
      </c>
      <c r="C87" s="17" t="s">
        <v>690</v>
      </c>
      <c r="D87" s="6" t="s">
        <v>745</v>
      </c>
      <c r="E87" s="6" t="s">
        <v>71</v>
      </c>
      <c r="F87" s="6" t="s">
        <v>22</v>
      </c>
      <c r="G87" s="6" t="s">
        <v>23</v>
      </c>
      <c r="H87" s="6"/>
      <c r="I87" s="6"/>
      <c r="J87" s="6" t="s">
        <v>193</v>
      </c>
      <c r="K87" s="9" t="s">
        <v>746</v>
      </c>
      <c r="L87" s="6" t="s">
        <v>22</v>
      </c>
      <c r="M87" s="6"/>
      <c r="N87" s="6" t="s">
        <v>747</v>
      </c>
      <c r="O87" s="6" t="s">
        <v>748</v>
      </c>
      <c r="P87" s="9" t="s">
        <v>749</v>
      </c>
      <c r="Q87" s="9"/>
      <c r="R87" s="6" t="s">
        <v>750</v>
      </c>
      <c r="S87" s="9"/>
    </row>
    <row r="88" customFormat="false" ht="23.85" hidden="false" customHeight="false" outlineLevel="0" collapsed="false">
      <c r="A88" s="2" t="n">
        <v>87</v>
      </c>
      <c r="B88" s="3" t="n">
        <v>28</v>
      </c>
      <c r="C88" s="16" t="s">
        <v>690</v>
      </c>
      <c r="D88" s="2" t="s">
        <v>751</v>
      </c>
      <c r="E88" s="2" t="s">
        <v>752</v>
      </c>
      <c r="F88" s="2" t="s">
        <v>22</v>
      </c>
      <c r="G88" s="2" t="s">
        <v>23</v>
      </c>
      <c r="H88" s="2" t="s">
        <v>753</v>
      </c>
      <c r="I88" s="2" t="s">
        <v>754</v>
      </c>
      <c r="J88" s="2" t="s">
        <v>755</v>
      </c>
      <c r="K88" s="5" t="s">
        <v>756</v>
      </c>
      <c r="L88" s="2" t="s">
        <v>22</v>
      </c>
      <c r="M88" s="2"/>
      <c r="N88" s="2"/>
      <c r="O88" s="2" t="s">
        <v>757</v>
      </c>
      <c r="P88" s="5" t="s">
        <v>758</v>
      </c>
      <c r="Q88" s="11" t="s">
        <v>101</v>
      </c>
      <c r="R88" s="2" t="s">
        <v>759</v>
      </c>
      <c r="S88" s="5" t="s">
        <v>760</v>
      </c>
    </row>
    <row r="89" customFormat="false" ht="35.05" hidden="false" customHeight="false" outlineLevel="0" collapsed="false">
      <c r="A89" s="6" t="n">
        <v>88</v>
      </c>
      <c r="B89" s="7" t="n">
        <v>25</v>
      </c>
      <c r="C89" s="17" t="s">
        <v>690</v>
      </c>
      <c r="D89" s="6" t="s">
        <v>761</v>
      </c>
      <c r="E89" s="6" t="s">
        <v>762</v>
      </c>
      <c r="F89" s="15" t="s">
        <v>574</v>
      </c>
      <c r="G89" s="6" t="s">
        <v>23</v>
      </c>
      <c r="H89" s="6"/>
      <c r="I89" s="6"/>
      <c r="J89" s="6" t="s">
        <v>193</v>
      </c>
      <c r="K89" s="9" t="s">
        <v>763</v>
      </c>
      <c r="L89" s="6" t="s">
        <v>22</v>
      </c>
      <c r="M89" s="6"/>
      <c r="N89" s="6" t="s">
        <v>764</v>
      </c>
      <c r="O89" s="6" t="s">
        <v>765</v>
      </c>
      <c r="P89" s="9" t="s">
        <v>766</v>
      </c>
      <c r="Q89" s="9"/>
      <c r="R89" s="6" t="s">
        <v>767</v>
      </c>
      <c r="S89" s="9"/>
    </row>
    <row r="90" customFormat="false" ht="35.05" hidden="false" customHeight="false" outlineLevel="0" collapsed="false">
      <c r="A90" s="2" t="n">
        <v>89</v>
      </c>
      <c r="B90" s="3" t="n">
        <v>24</v>
      </c>
      <c r="C90" s="16" t="s">
        <v>690</v>
      </c>
      <c r="D90" s="2" t="s">
        <v>768</v>
      </c>
      <c r="E90" s="2" t="s">
        <v>114</v>
      </c>
      <c r="F90" s="2" t="s">
        <v>22</v>
      </c>
      <c r="G90" s="2" t="s">
        <v>23</v>
      </c>
      <c r="H90" s="2"/>
      <c r="I90" s="2"/>
      <c r="J90" s="2" t="s">
        <v>193</v>
      </c>
      <c r="K90" s="5" t="s">
        <v>769</v>
      </c>
      <c r="L90" s="2" t="s">
        <v>22</v>
      </c>
      <c r="M90" s="2"/>
      <c r="N90" s="2"/>
      <c r="O90" s="2" t="s">
        <v>770</v>
      </c>
      <c r="P90" s="5" t="s">
        <v>771</v>
      </c>
      <c r="Q90" s="11" t="s">
        <v>101</v>
      </c>
      <c r="R90" s="2" t="s">
        <v>147</v>
      </c>
      <c r="S90" s="5"/>
    </row>
    <row r="91" customFormat="false" ht="35.05" hidden="false" customHeight="false" outlineLevel="0" collapsed="false">
      <c r="A91" s="6" t="n">
        <v>90</v>
      </c>
      <c r="B91" s="7" t="n">
        <v>24</v>
      </c>
      <c r="C91" s="17" t="s">
        <v>690</v>
      </c>
      <c r="D91" s="6" t="s">
        <v>772</v>
      </c>
      <c r="E91" s="6" t="s">
        <v>71</v>
      </c>
      <c r="F91" s="6" t="s">
        <v>22</v>
      </c>
      <c r="G91" s="6" t="s">
        <v>23</v>
      </c>
      <c r="H91" s="6"/>
      <c r="I91" s="6"/>
      <c r="J91" s="6" t="s">
        <v>193</v>
      </c>
      <c r="K91" s="9" t="s">
        <v>773</v>
      </c>
      <c r="L91" s="6" t="s">
        <v>22</v>
      </c>
      <c r="M91" s="6"/>
      <c r="N91" s="6"/>
      <c r="O91" s="6" t="s">
        <v>774</v>
      </c>
      <c r="P91" s="9" t="s">
        <v>775</v>
      </c>
      <c r="Q91" s="12" t="s">
        <v>101</v>
      </c>
      <c r="R91" s="6" t="s">
        <v>723</v>
      </c>
      <c r="S91" s="9" t="s">
        <v>776</v>
      </c>
    </row>
    <row r="92" customFormat="false" ht="35.05" hidden="false" customHeight="false" outlineLevel="0" collapsed="false">
      <c r="A92" s="2" t="n">
        <v>91</v>
      </c>
      <c r="B92" s="3" t="n">
        <v>20</v>
      </c>
      <c r="C92" s="16" t="s">
        <v>690</v>
      </c>
      <c r="D92" s="2" t="s">
        <v>777</v>
      </c>
      <c r="E92" s="2" t="s">
        <v>762</v>
      </c>
      <c r="F92" s="15" t="s">
        <v>574</v>
      </c>
      <c r="G92" s="2" t="s">
        <v>23</v>
      </c>
      <c r="H92" s="2"/>
      <c r="I92" s="2"/>
      <c r="J92" s="2" t="s">
        <v>193</v>
      </c>
      <c r="K92" s="5" t="s">
        <v>778</v>
      </c>
      <c r="L92" s="2" t="s">
        <v>22</v>
      </c>
      <c r="M92" s="2"/>
      <c r="N92" s="2"/>
      <c r="O92" s="2" t="s">
        <v>779</v>
      </c>
      <c r="P92" s="5" t="s">
        <v>780</v>
      </c>
      <c r="Q92" s="11" t="s">
        <v>101</v>
      </c>
      <c r="R92" s="2" t="s">
        <v>147</v>
      </c>
      <c r="S92" s="5" t="s">
        <v>781</v>
      </c>
    </row>
    <row r="93" customFormat="false" ht="35.05" hidden="false" customHeight="false" outlineLevel="0" collapsed="false">
      <c r="A93" s="6" t="n">
        <v>92</v>
      </c>
      <c r="B93" s="7" t="n">
        <v>18</v>
      </c>
      <c r="C93" s="17" t="s">
        <v>690</v>
      </c>
      <c r="D93" s="6" t="s">
        <v>782</v>
      </c>
      <c r="E93" s="6" t="s">
        <v>762</v>
      </c>
      <c r="F93" s="6" t="s">
        <v>22</v>
      </c>
      <c r="G93" s="6" t="s">
        <v>23</v>
      </c>
      <c r="H93" s="6"/>
      <c r="I93" s="6"/>
      <c r="J93" s="6" t="s">
        <v>193</v>
      </c>
      <c r="K93" s="9" t="s">
        <v>783</v>
      </c>
      <c r="L93" s="6" t="s">
        <v>22</v>
      </c>
      <c r="M93" s="6"/>
      <c r="N93" s="6"/>
      <c r="O93" s="6" t="s">
        <v>784</v>
      </c>
      <c r="P93" s="9" t="s">
        <v>785</v>
      </c>
      <c r="Q93" s="12" t="s">
        <v>101</v>
      </c>
      <c r="R93" s="6" t="s">
        <v>147</v>
      </c>
      <c r="S93" s="9"/>
    </row>
    <row r="94" customFormat="false" ht="35.05" hidden="false" customHeight="false" outlineLevel="0" collapsed="false">
      <c r="A94" s="2" t="n">
        <v>93</v>
      </c>
      <c r="B94" s="3" t="n">
        <v>16</v>
      </c>
      <c r="C94" s="16" t="s">
        <v>690</v>
      </c>
      <c r="D94" s="2" t="s">
        <v>786</v>
      </c>
      <c r="E94" s="2" t="s">
        <v>348</v>
      </c>
      <c r="F94" s="2" t="s">
        <v>22</v>
      </c>
      <c r="G94" s="2" t="s">
        <v>23</v>
      </c>
      <c r="H94" s="2"/>
      <c r="I94" s="2"/>
      <c r="J94" s="2" t="s">
        <v>193</v>
      </c>
      <c r="K94" s="5" t="s">
        <v>787</v>
      </c>
      <c r="L94" s="2" t="s">
        <v>22</v>
      </c>
      <c r="M94" s="2"/>
      <c r="N94" s="2"/>
      <c r="O94" s="2" t="s">
        <v>788</v>
      </c>
      <c r="P94" s="5" t="s">
        <v>789</v>
      </c>
      <c r="Q94" s="11" t="s">
        <v>101</v>
      </c>
      <c r="R94" s="2"/>
      <c r="S94" s="5" t="s">
        <v>790</v>
      </c>
    </row>
  </sheetData>
  <autoFilter ref="A1:S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8" t="s">
        <v>791</v>
      </c>
      <c r="B1" s="18"/>
      <c r="C1" s="19" t="s">
        <v>792</v>
      </c>
    </row>
    <row r="2" customFormat="false" ht="15" hidden="false" customHeight="false" outlineLevel="0" collapsed="false">
      <c r="A2" s="20"/>
      <c r="B2" s="20"/>
      <c r="C2" s="21" t="s">
        <v>793</v>
      </c>
    </row>
    <row r="4" customFormat="false" ht="15" hidden="false" customHeight="false" outlineLevel="0" collapsed="false">
      <c r="A4" s="22" t="s">
        <v>794</v>
      </c>
      <c r="B4" s="22"/>
      <c r="C4" s="21"/>
    </row>
    <row r="5" customFormat="false" ht="15" hidden="false" customHeight="false" outlineLevel="0" collapsed="false">
      <c r="A5" s="20" t="s">
        <v>795</v>
      </c>
      <c r="B5" s="22" t="n">
        <f aca="false">COUNTA(Board!D2:D200)</f>
        <v>93</v>
      </c>
    </row>
    <row r="6" customFormat="false" ht="15" hidden="false" customHeight="false" outlineLevel="0" collapsed="false">
      <c r="A6" s="20" t="s">
        <v>796</v>
      </c>
      <c r="B6" s="22" t="n">
        <f aca="false">COUNTIF(Board!C2:C200,"B")</f>
        <v>24</v>
      </c>
    </row>
    <row r="7" customFormat="false" ht="15" hidden="false" customHeight="false" outlineLevel="0" collapsed="false">
      <c r="A7" s="20" t="s">
        <v>797</v>
      </c>
      <c r="B7" s="22" t="n">
        <f aca="false">COUNTIF(Board!C2:C200,"C")</f>
        <v>54</v>
      </c>
    </row>
    <row r="8" customFormat="false" ht="15" hidden="false" customHeight="false" outlineLevel="0" collapsed="false">
      <c r="A8" s="20" t="s">
        <v>798</v>
      </c>
      <c r="B8" s="22" t="n">
        <f aca="false">COUNTIF(Board!C2:C200,"D")</f>
        <v>15</v>
      </c>
    </row>
    <row r="9" customFormat="false" ht="15" hidden="false" customHeight="false" outlineLevel="0" collapsed="false">
      <c r="A9" s="20" t="s">
        <v>799</v>
      </c>
      <c r="B9" s="22" t="n">
        <f aca="false">COUNTIF(Board!H2:H200,"?*")</f>
        <v>66</v>
      </c>
    </row>
    <row r="10" customFormat="false" ht="15" hidden="false" customHeight="false" outlineLevel="0" collapsed="false">
      <c r="A10" s="20" t="s">
        <v>800</v>
      </c>
      <c r="B10" s="22" t="n">
        <f aca="false">COUNTIF(Board!F2:F200,"thesis_no_flow")</f>
        <v>15</v>
      </c>
    </row>
    <row r="11" customFormat="false" ht="15" hidden="false" customHeight="false" outlineLevel="0" collapsed="false">
      <c r="A11" s="20" t="s">
        <v>801</v>
      </c>
      <c r="B11" s="22" t="n">
        <f aca="false">COUNTIF(Board!F2:F200,"has_both")</f>
        <v>6</v>
      </c>
    </row>
    <row r="12" customFormat="false" ht="15" hidden="false" customHeight="false" outlineLevel="0" collapsed="false">
      <c r="A12" s="20" t="s">
        <v>802</v>
      </c>
      <c r="B12" s="22" t="n">
        <f aca="false">COUNTIF(Board!F2:F200,"unknown")</f>
        <v>72</v>
      </c>
    </row>
    <row r="14" customFormat="false" ht="15" hidden="false" customHeight="false" outlineLevel="0" collapsed="false">
      <c r="A14" s="22" t="s">
        <v>803</v>
      </c>
      <c r="B14" s="22"/>
      <c r="C14" s="21"/>
    </row>
    <row r="15" customFormat="false" ht="23.85" hidden="false" customHeight="false" outlineLevel="0" collapsed="false">
      <c r="A15" s="20" t="s">
        <v>804</v>
      </c>
      <c r="B15" s="20"/>
      <c r="C15" s="21" t="s">
        <v>805</v>
      </c>
    </row>
    <row r="16" customFormat="false" ht="15" hidden="false" customHeight="false" outlineLevel="0" collapsed="false">
      <c r="A16" s="20" t="s">
        <v>806</v>
      </c>
      <c r="B16" s="20"/>
      <c r="C16" s="21" t="s">
        <v>807</v>
      </c>
    </row>
    <row r="17" customFormat="false" ht="15" hidden="false" customHeight="false" outlineLevel="0" collapsed="false">
      <c r="A17" s="20" t="s">
        <v>808</v>
      </c>
      <c r="B17" s="20"/>
      <c r="C17" s="21" t="s">
        <v>809</v>
      </c>
    </row>
    <row r="18" customFormat="false" ht="23.85" hidden="false" customHeight="false" outlineLevel="0" collapsed="false">
      <c r="A18" s="20" t="s">
        <v>810</v>
      </c>
      <c r="B18" s="20"/>
      <c r="C18" s="21" t="s">
        <v>811</v>
      </c>
    </row>
    <row r="19" customFormat="false" ht="23.85" hidden="false" customHeight="false" outlineLevel="0" collapsed="false">
      <c r="A19" s="20" t="s">
        <v>812</v>
      </c>
      <c r="B19" s="20"/>
      <c r="C19" s="21" t="s">
        <v>813</v>
      </c>
    </row>
    <row r="20" customFormat="false" ht="23.85" hidden="false" customHeight="false" outlineLevel="0" collapsed="false">
      <c r="A20" s="20" t="s">
        <v>814</v>
      </c>
      <c r="B20" s="20"/>
      <c r="C20" s="21" t="s">
        <v>815</v>
      </c>
    </row>
    <row r="22" customFormat="false" ht="15" hidden="false" customHeight="false" outlineLevel="0" collapsed="false">
      <c r="A22" s="23" t="s">
        <v>816</v>
      </c>
      <c r="B22" s="22"/>
      <c r="C22" s="21"/>
    </row>
    <row r="23" customFormat="false" ht="35.05" hidden="false" customHeight="false" outlineLevel="0" collapsed="false">
      <c r="A23" s="20" t="s">
        <v>817</v>
      </c>
      <c r="B23" s="20"/>
      <c r="C23" s="21" t="s">
        <v>818</v>
      </c>
    </row>
    <row r="24" customFormat="false" ht="35.05" hidden="false" customHeight="false" outlineLevel="0" collapsed="false">
      <c r="A24" s="20" t="s">
        <v>819</v>
      </c>
      <c r="B24" s="20"/>
      <c r="C24" s="21" t="s">
        <v>820</v>
      </c>
    </row>
    <row r="25" customFormat="false" ht="23.85" hidden="false" customHeight="false" outlineLevel="0" collapsed="false">
      <c r="A25" s="20" t="s">
        <v>821</v>
      </c>
      <c r="B25" s="20"/>
      <c r="C25" s="21" t="s">
        <v>822</v>
      </c>
    </row>
    <row r="26" customFormat="false" ht="15" hidden="false" customHeight="false" outlineLevel="0" collapsed="false">
      <c r="A26" s="20" t="s">
        <v>823</v>
      </c>
      <c r="B26" s="20"/>
      <c r="C26" s="21" t="s">
        <v>824</v>
      </c>
    </row>
    <row r="27" customFormat="false" ht="23.85" hidden="false" customHeight="false" outlineLevel="0" collapsed="false">
      <c r="A27" s="20" t="s">
        <v>825</v>
      </c>
      <c r="B27" s="20"/>
      <c r="C27" s="21" t="s">
        <v>826</v>
      </c>
    </row>
    <row r="29" customFormat="false" ht="15" hidden="false" customHeight="false" outlineLevel="0" collapsed="false">
      <c r="A29" s="22" t="s">
        <v>827</v>
      </c>
      <c r="B29" s="22"/>
      <c r="C29" s="21"/>
    </row>
    <row r="30" customFormat="false" ht="15" hidden="false" customHeight="false" outlineLevel="0" collapsed="false">
      <c r="A30" s="20" t="s">
        <v>828</v>
      </c>
      <c r="B30" s="20"/>
      <c r="C30" s="21" t="s">
        <v>829</v>
      </c>
    </row>
    <row r="31" customFormat="false" ht="15" hidden="false" customHeight="false" outlineLevel="0" collapsed="false">
      <c r="A31" s="20" t="s">
        <v>830</v>
      </c>
      <c r="B31" s="20"/>
      <c r="C31" s="21" t="s">
        <v>831</v>
      </c>
    </row>
    <row r="32" customFormat="false" ht="23.85" hidden="false" customHeight="false" outlineLevel="0" collapsed="false">
      <c r="A32" s="20" t="s">
        <v>832</v>
      </c>
      <c r="B32" s="20"/>
      <c r="C32" s="21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2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24" t="s">
        <v>14</v>
      </c>
      <c r="B1" s="24" t="s">
        <v>834</v>
      </c>
      <c r="C1" s="24" t="s">
        <v>835</v>
      </c>
      <c r="D1" s="24" t="s">
        <v>836</v>
      </c>
      <c r="E1" s="24" t="s">
        <v>837</v>
      </c>
      <c r="F1" s="24" t="s">
        <v>838</v>
      </c>
      <c r="G1" s="24" t="s">
        <v>839</v>
      </c>
      <c r="H1" s="24" t="s">
        <v>840</v>
      </c>
      <c r="I1" s="24" t="s">
        <v>841</v>
      </c>
    </row>
    <row r="2" customFormat="false" ht="15" hidden="false" customHeight="false" outlineLevel="0" collapsed="false">
      <c r="A2" s="25" t="s">
        <v>842</v>
      </c>
      <c r="B2" s="25" t="s">
        <v>843</v>
      </c>
      <c r="C2" s="25" t="s">
        <v>844</v>
      </c>
      <c r="D2" s="25" t="s">
        <v>845</v>
      </c>
      <c r="E2" s="25" t="s">
        <v>846</v>
      </c>
      <c r="F2" s="25" t="s">
        <v>847</v>
      </c>
      <c r="G2" s="25" t="s">
        <v>848</v>
      </c>
      <c r="H2" s="25"/>
      <c r="I2" s="25" t="s">
        <v>849</v>
      </c>
    </row>
    <row r="3" customFormat="false" ht="15" hidden="false" customHeight="false" outlineLevel="0" collapsed="false">
      <c r="A3" s="26" t="s">
        <v>850</v>
      </c>
      <c r="B3" s="26" t="s">
        <v>851</v>
      </c>
      <c r="C3" s="26" t="s">
        <v>852</v>
      </c>
      <c r="D3" s="26" t="s">
        <v>853</v>
      </c>
      <c r="E3" s="26" t="s">
        <v>846</v>
      </c>
      <c r="F3" s="26" t="s">
        <v>847</v>
      </c>
      <c r="G3" s="26" t="s">
        <v>848</v>
      </c>
      <c r="H3" s="26" t="s">
        <v>854</v>
      </c>
      <c r="I3" s="26" t="s">
        <v>855</v>
      </c>
    </row>
    <row r="4" customFormat="false" ht="15" hidden="false" customHeight="false" outlineLevel="0" collapsed="false">
      <c r="A4" s="25" t="s">
        <v>856</v>
      </c>
      <c r="B4" s="25" t="s">
        <v>857</v>
      </c>
      <c r="C4" s="25" t="s">
        <v>858</v>
      </c>
      <c r="D4" s="25" t="s">
        <v>859</v>
      </c>
      <c r="E4" s="25" t="s">
        <v>846</v>
      </c>
      <c r="F4" s="25" t="s">
        <v>847</v>
      </c>
      <c r="G4" s="25" t="s">
        <v>848</v>
      </c>
      <c r="H4" s="25" t="s">
        <v>860</v>
      </c>
      <c r="I4" s="25" t="s">
        <v>849</v>
      </c>
    </row>
    <row r="5" customFormat="false" ht="15" hidden="false" customHeight="false" outlineLevel="0" collapsed="false">
      <c r="A5" s="26" t="s">
        <v>861</v>
      </c>
      <c r="B5" s="26" t="s">
        <v>862</v>
      </c>
      <c r="C5" s="26" t="s">
        <v>863</v>
      </c>
      <c r="D5" s="26" t="s">
        <v>845</v>
      </c>
      <c r="E5" s="26" t="s">
        <v>846</v>
      </c>
      <c r="F5" s="26" t="s">
        <v>847</v>
      </c>
      <c r="G5" s="26" t="s">
        <v>848</v>
      </c>
      <c r="H5" s="26"/>
      <c r="I5" s="26" t="s">
        <v>849</v>
      </c>
    </row>
    <row r="6" customFormat="false" ht="15" hidden="false" customHeight="false" outlineLevel="0" collapsed="false">
      <c r="A6" s="25" t="s">
        <v>864</v>
      </c>
      <c r="B6" s="25" t="s">
        <v>865</v>
      </c>
      <c r="C6" s="25" t="s">
        <v>866</v>
      </c>
      <c r="D6" s="25" t="s">
        <v>867</v>
      </c>
      <c r="E6" s="25" t="s">
        <v>846</v>
      </c>
      <c r="F6" s="25" t="s">
        <v>847</v>
      </c>
      <c r="G6" s="25" t="s">
        <v>848</v>
      </c>
      <c r="H6" s="25" t="s">
        <v>868</v>
      </c>
      <c r="I6" s="25" t="s">
        <v>869</v>
      </c>
    </row>
    <row r="7" customFormat="false" ht="15" hidden="false" customHeight="false" outlineLevel="0" collapsed="false">
      <c r="A7" s="26" t="s">
        <v>870</v>
      </c>
      <c r="B7" s="26" t="s">
        <v>871</v>
      </c>
      <c r="C7" s="26" t="s">
        <v>872</v>
      </c>
      <c r="D7" s="26" t="s">
        <v>867</v>
      </c>
      <c r="E7" s="26" t="s">
        <v>846</v>
      </c>
      <c r="F7" s="26" t="s">
        <v>873</v>
      </c>
      <c r="G7" s="26" t="s">
        <v>848</v>
      </c>
      <c r="H7" s="26" t="s">
        <v>874</v>
      </c>
      <c r="I7" s="26" t="s">
        <v>875</v>
      </c>
    </row>
    <row r="8" customFormat="false" ht="15" hidden="false" customHeight="false" outlineLevel="0" collapsed="false">
      <c r="A8" s="25" t="s">
        <v>876</v>
      </c>
      <c r="B8" s="25" t="s">
        <v>877</v>
      </c>
      <c r="C8" s="25" t="s">
        <v>878</v>
      </c>
      <c r="D8" s="25" t="s">
        <v>867</v>
      </c>
      <c r="E8" s="25" t="s">
        <v>846</v>
      </c>
      <c r="F8" s="25" t="s">
        <v>879</v>
      </c>
      <c r="G8" s="25" t="s">
        <v>880</v>
      </c>
      <c r="H8" s="25" t="s">
        <v>881</v>
      </c>
      <c r="I8" s="25" t="s">
        <v>882</v>
      </c>
    </row>
    <row r="9" customFormat="false" ht="15" hidden="false" customHeight="false" outlineLevel="0" collapsed="false">
      <c r="A9" s="26" t="s">
        <v>883</v>
      </c>
      <c r="B9" s="26" t="s">
        <v>884</v>
      </c>
      <c r="C9" s="26" t="s">
        <v>885</v>
      </c>
      <c r="D9" s="26" t="s">
        <v>859</v>
      </c>
      <c r="E9" s="26" t="s">
        <v>846</v>
      </c>
      <c r="F9" s="26" t="s">
        <v>847</v>
      </c>
      <c r="G9" s="26" t="s">
        <v>848</v>
      </c>
      <c r="H9" s="26" t="s">
        <v>886</v>
      </c>
      <c r="I9" s="26" t="s">
        <v>849</v>
      </c>
    </row>
    <row r="10" customFormat="false" ht="15" hidden="false" customHeight="false" outlineLevel="0" collapsed="false">
      <c r="A10" s="25" t="s">
        <v>887</v>
      </c>
      <c r="B10" s="25" t="s">
        <v>888</v>
      </c>
      <c r="C10" s="25" t="s">
        <v>889</v>
      </c>
      <c r="D10" s="25" t="s">
        <v>867</v>
      </c>
      <c r="E10" s="25" t="s">
        <v>19</v>
      </c>
      <c r="F10" s="25"/>
      <c r="G10" s="25"/>
      <c r="H10" s="25"/>
      <c r="I10" s="25" t="s">
        <v>355</v>
      </c>
    </row>
    <row r="11" customFormat="false" ht="15" hidden="false" customHeight="false" outlineLevel="0" collapsed="false">
      <c r="A11" s="26" t="s">
        <v>890</v>
      </c>
      <c r="B11" s="26" t="s">
        <v>891</v>
      </c>
      <c r="C11" s="26" t="s">
        <v>892</v>
      </c>
      <c r="D11" s="26" t="s">
        <v>893</v>
      </c>
      <c r="E11" s="26" t="s">
        <v>19</v>
      </c>
      <c r="F11" s="26" t="s">
        <v>894</v>
      </c>
      <c r="G11" s="26" t="s">
        <v>848</v>
      </c>
      <c r="H11" s="26" t="s">
        <v>895</v>
      </c>
      <c r="I11" s="26" t="s">
        <v>896</v>
      </c>
    </row>
    <row r="12" customFormat="false" ht="15" hidden="false" customHeight="false" outlineLevel="0" collapsed="false">
      <c r="A12" s="25" t="s">
        <v>897</v>
      </c>
      <c r="B12" s="25" t="s">
        <v>898</v>
      </c>
      <c r="C12" s="25" t="s">
        <v>899</v>
      </c>
      <c r="D12" s="25" t="s">
        <v>853</v>
      </c>
      <c r="E12" s="25" t="s">
        <v>19</v>
      </c>
      <c r="F12" s="25" t="s">
        <v>900</v>
      </c>
      <c r="G12" s="25" t="s">
        <v>848</v>
      </c>
      <c r="H12" s="25" t="s">
        <v>901</v>
      </c>
      <c r="I12" s="25" t="s">
        <v>902</v>
      </c>
    </row>
    <row r="13" customFormat="false" ht="15" hidden="false" customHeight="false" outlineLevel="0" collapsed="false">
      <c r="A13" s="26" t="s">
        <v>903</v>
      </c>
      <c r="B13" s="26" t="s">
        <v>904</v>
      </c>
      <c r="C13" s="26" t="s">
        <v>905</v>
      </c>
      <c r="D13" s="26" t="s">
        <v>893</v>
      </c>
      <c r="E13" s="26" t="s">
        <v>19</v>
      </c>
      <c r="F13" s="26" t="s">
        <v>847</v>
      </c>
      <c r="G13" s="26" t="s">
        <v>848</v>
      </c>
      <c r="H13" s="26" t="s">
        <v>895</v>
      </c>
      <c r="I13" s="26" t="s">
        <v>906</v>
      </c>
    </row>
    <row r="14" customFormat="false" ht="15" hidden="false" customHeight="false" outlineLevel="0" collapsed="false">
      <c r="A14" s="25" t="s">
        <v>907</v>
      </c>
      <c r="B14" s="25" t="s">
        <v>908</v>
      </c>
      <c r="C14" s="25" t="s">
        <v>909</v>
      </c>
      <c r="D14" s="25" t="s">
        <v>845</v>
      </c>
      <c r="E14" s="25" t="s">
        <v>19</v>
      </c>
      <c r="F14" s="25" t="s">
        <v>847</v>
      </c>
      <c r="G14" s="25" t="s">
        <v>848</v>
      </c>
      <c r="H14" s="25"/>
      <c r="I14" s="25" t="s">
        <v>849</v>
      </c>
    </row>
    <row r="15" customFormat="false" ht="15" hidden="false" customHeight="false" outlineLevel="0" collapsed="false">
      <c r="A15" s="26" t="s">
        <v>910</v>
      </c>
      <c r="B15" s="26" t="s">
        <v>911</v>
      </c>
      <c r="C15" s="26" t="s">
        <v>912</v>
      </c>
      <c r="D15" s="26" t="s">
        <v>845</v>
      </c>
      <c r="E15" s="26" t="s">
        <v>19</v>
      </c>
      <c r="F15" s="26" t="s">
        <v>847</v>
      </c>
      <c r="G15" s="26" t="s">
        <v>848</v>
      </c>
      <c r="H15" s="26"/>
      <c r="I15" s="26" t="s">
        <v>849</v>
      </c>
    </row>
    <row r="16" customFormat="false" ht="15" hidden="false" customHeight="false" outlineLevel="0" collapsed="false">
      <c r="A16" s="25" t="s">
        <v>913</v>
      </c>
      <c r="B16" s="25" t="s">
        <v>914</v>
      </c>
      <c r="C16" s="25" t="s">
        <v>915</v>
      </c>
      <c r="D16" s="25" t="s">
        <v>893</v>
      </c>
      <c r="E16" s="25" t="s">
        <v>19</v>
      </c>
      <c r="F16" s="25" t="s">
        <v>847</v>
      </c>
      <c r="G16" s="25" t="s">
        <v>848</v>
      </c>
      <c r="H16" s="25"/>
      <c r="I16" s="25" t="s">
        <v>849</v>
      </c>
    </row>
    <row r="17" customFormat="false" ht="15" hidden="false" customHeight="false" outlineLevel="0" collapsed="false">
      <c r="A17" s="26" t="s">
        <v>916</v>
      </c>
      <c r="B17" s="26" t="s">
        <v>917</v>
      </c>
      <c r="C17" s="26" t="s">
        <v>918</v>
      </c>
      <c r="D17" s="26" t="s">
        <v>919</v>
      </c>
      <c r="E17" s="26" t="s">
        <v>19</v>
      </c>
      <c r="F17" s="26" t="s">
        <v>847</v>
      </c>
      <c r="G17" s="26" t="s">
        <v>848</v>
      </c>
      <c r="H17" s="26" t="s">
        <v>920</v>
      </c>
      <c r="I17" s="26" t="s">
        <v>921</v>
      </c>
    </row>
    <row r="18" customFormat="false" ht="15" hidden="false" customHeight="false" outlineLevel="0" collapsed="false">
      <c r="A18" s="25" t="s">
        <v>922</v>
      </c>
      <c r="B18" s="25" t="s">
        <v>923</v>
      </c>
      <c r="C18" s="25" t="s">
        <v>912</v>
      </c>
      <c r="D18" s="25" t="s">
        <v>845</v>
      </c>
      <c r="E18" s="25" t="s">
        <v>19</v>
      </c>
      <c r="F18" s="25" t="s">
        <v>847</v>
      </c>
      <c r="G18" s="25" t="s">
        <v>848</v>
      </c>
      <c r="H18" s="25"/>
      <c r="I18" s="25" t="s">
        <v>849</v>
      </c>
    </row>
    <row r="19" customFormat="false" ht="15" hidden="false" customHeight="false" outlineLevel="0" collapsed="false">
      <c r="A19" s="26" t="s">
        <v>924</v>
      </c>
      <c r="B19" s="26" t="s">
        <v>925</v>
      </c>
      <c r="C19" s="26" t="s">
        <v>926</v>
      </c>
      <c r="D19" s="26" t="s">
        <v>853</v>
      </c>
      <c r="E19" s="26" t="s">
        <v>19</v>
      </c>
      <c r="F19" s="26" t="s">
        <v>927</v>
      </c>
      <c r="G19" s="26" t="s">
        <v>928</v>
      </c>
      <c r="H19" s="26"/>
      <c r="I19" s="26" t="s">
        <v>929</v>
      </c>
    </row>
    <row r="20" customFormat="false" ht="15" hidden="false" customHeight="false" outlineLevel="0" collapsed="false">
      <c r="A20" s="25" t="s">
        <v>930</v>
      </c>
      <c r="B20" s="25" t="s">
        <v>931</v>
      </c>
      <c r="C20" s="25" t="s">
        <v>932</v>
      </c>
      <c r="D20" s="25" t="s">
        <v>845</v>
      </c>
      <c r="E20" s="25" t="s">
        <v>19</v>
      </c>
      <c r="F20" s="25" t="s">
        <v>847</v>
      </c>
      <c r="G20" s="25" t="s">
        <v>848</v>
      </c>
      <c r="H20" s="25"/>
      <c r="I20" s="25" t="s">
        <v>849</v>
      </c>
    </row>
    <row r="21" customFormat="false" ht="15" hidden="false" customHeight="false" outlineLevel="0" collapsed="false">
      <c r="A21" s="26" t="s">
        <v>933</v>
      </c>
      <c r="B21" s="26" t="s">
        <v>934</v>
      </c>
      <c r="C21" s="26" t="s">
        <v>935</v>
      </c>
      <c r="D21" s="26" t="s">
        <v>919</v>
      </c>
      <c r="E21" s="26" t="s">
        <v>19</v>
      </c>
      <c r="F21" s="26" t="s">
        <v>936</v>
      </c>
      <c r="G21" s="26" t="s">
        <v>937</v>
      </c>
      <c r="H21" s="26"/>
      <c r="I21" s="26" t="s">
        <v>705</v>
      </c>
    </row>
    <row r="22" customFormat="false" ht="15" hidden="false" customHeight="false" outlineLevel="0" collapsed="false">
      <c r="A22" s="25" t="s">
        <v>938</v>
      </c>
      <c r="B22" s="25" t="s">
        <v>939</v>
      </c>
      <c r="C22" s="25" t="s">
        <v>940</v>
      </c>
      <c r="D22" s="25" t="s">
        <v>853</v>
      </c>
      <c r="E22" s="25" t="s">
        <v>19</v>
      </c>
      <c r="F22" s="25" t="s">
        <v>941</v>
      </c>
      <c r="G22" s="25" t="s">
        <v>942</v>
      </c>
      <c r="H22" s="25" t="s">
        <v>943</v>
      </c>
      <c r="I22" s="25" t="s">
        <v>944</v>
      </c>
    </row>
    <row r="23" customFormat="false" ht="15" hidden="false" customHeight="false" outlineLevel="0" collapsed="false">
      <c r="A23" s="26" t="s">
        <v>945</v>
      </c>
      <c r="B23" s="26" t="s">
        <v>946</v>
      </c>
      <c r="C23" s="26" t="s">
        <v>947</v>
      </c>
      <c r="D23" s="26" t="s">
        <v>853</v>
      </c>
      <c r="E23" s="26" t="s">
        <v>19</v>
      </c>
      <c r="F23" s="26" t="s">
        <v>948</v>
      </c>
      <c r="G23" s="26" t="s">
        <v>937</v>
      </c>
      <c r="H23" s="26" t="s">
        <v>949</v>
      </c>
      <c r="I23" s="26" t="s">
        <v>950</v>
      </c>
    </row>
    <row r="24" customFormat="false" ht="15" hidden="false" customHeight="false" outlineLevel="0" collapsed="false">
      <c r="A24" s="25" t="s">
        <v>951</v>
      </c>
      <c r="B24" s="25" t="s">
        <v>952</v>
      </c>
      <c r="C24" s="25" t="s">
        <v>915</v>
      </c>
      <c r="D24" s="25" t="s">
        <v>893</v>
      </c>
      <c r="E24" s="25" t="s">
        <v>19</v>
      </c>
      <c r="F24" s="25" t="s">
        <v>847</v>
      </c>
      <c r="G24" s="25" t="s">
        <v>848</v>
      </c>
      <c r="H24" s="25"/>
      <c r="I24" s="25" t="s">
        <v>849</v>
      </c>
    </row>
    <row r="25" customFormat="false" ht="15" hidden="false" customHeight="false" outlineLevel="0" collapsed="false">
      <c r="A25" s="26" t="s">
        <v>953</v>
      </c>
      <c r="B25" s="26" t="s">
        <v>954</v>
      </c>
      <c r="C25" s="26" t="s">
        <v>955</v>
      </c>
      <c r="D25" s="26" t="s">
        <v>893</v>
      </c>
      <c r="E25" s="26" t="s">
        <v>19</v>
      </c>
      <c r="F25" s="26" t="s">
        <v>956</v>
      </c>
      <c r="G25" s="26" t="s">
        <v>848</v>
      </c>
      <c r="H25" s="26"/>
      <c r="I25" s="26" t="s">
        <v>849</v>
      </c>
    </row>
    <row r="26" customFormat="false" ht="15" hidden="false" customHeight="false" outlineLevel="0" collapsed="false">
      <c r="A26" s="25" t="s">
        <v>957</v>
      </c>
      <c r="B26" s="25" t="s">
        <v>958</v>
      </c>
      <c r="C26" s="25" t="s">
        <v>912</v>
      </c>
      <c r="D26" s="25" t="s">
        <v>845</v>
      </c>
      <c r="E26" s="25" t="s">
        <v>19</v>
      </c>
      <c r="F26" s="25" t="s">
        <v>847</v>
      </c>
      <c r="G26" s="25" t="s">
        <v>848</v>
      </c>
      <c r="H26" s="25"/>
      <c r="I26" s="25" t="s">
        <v>849</v>
      </c>
    </row>
    <row r="27" customFormat="false" ht="15" hidden="false" customHeight="false" outlineLevel="0" collapsed="false">
      <c r="A27" s="26" t="s">
        <v>959</v>
      </c>
      <c r="B27" s="26" t="s">
        <v>960</v>
      </c>
      <c r="C27" s="26" t="s">
        <v>961</v>
      </c>
      <c r="D27" s="26" t="s">
        <v>893</v>
      </c>
      <c r="E27" s="26" t="s">
        <v>19</v>
      </c>
      <c r="F27" s="26" t="s">
        <v>956</v>
      </c>
      <c r="G27" s="26" t="s">
        <v>848</v>
      </c>
      <c r="H27" s="26" t="s">
        <v>962</v>
      </c>
      <c r="I27" s="26" t="s">
        <v>963</v>
      </c>
    </row>
    <row r="28" customFormat="false" ht="15" hidden="false" customHeight="false" outlineLevel="0" collapsed="false">
      <c r="A28" s="25" t="s">
        <v>964</v>
      </c>
      <c r="B28" s="25" t="s">
        <v>965</v>
      </c>
      <c r="C28" s="25" t="s">
        <v>966</v>
      </c>
      <c r="D28" s="25" t="s">
        <v>967</v>
      </c>
      <c r="E28" s="25" t="s">
        <v>246</v>
      </c>
      <c r="F28" s="25" t="s">
        <v>847</v>
      </c>
      <c r="G28" s="25" t="s">
        <v>848</v>
      </c>
      <c r="H28" s="25"/>
      <c r="I28" s="25"/>
    </row>
    <row r="29" customFormat="false" ht="15" hidden="false" customHeight="false" outlineLevel="0" collapsed="false">
      <c r="A29" s="26" t="s">
        <v>968</v>
      </c>
      <c r="B29" s="26" t="s">
        <v>969</v>
      </c>
      <c r="C29" s="26" t="s">
        <v>970</v>
      </c>
      <c r="D29" s="26" t="s">
        <v>919</v>
      </c>
      <c r="E29" s="26" t="s">
        <v>246</v>
      </c>
      <c r="F29" s="26" t="s">
        <v>879</v>
      </c>
      <c r="G29" s="26" t="s">
        <v>880</v>
      </c>
      <c r="H29" s="26"/>
      <c r="I29" s="26"/>
    </row>
    <row r="30" customFormat="false" ht="15" hidden="false" customHeight="false" outlineLevel="0" collapsed="false">
      <c r="A30" s="25" t="s">
        <v>971</v>
      </c>
      <c r="B30" s="25" t="s">
        <v>972</v>
      </c>
      <c r="C30" s="25" t="s">
        <v>973</v>
      </c>
      <c r="D30" s="25" t="s">
        <v>893</v>
      </c>
      <c r="E30" s="25" t="s">
        <v>246</v>
      </c>
      <c r="F30" s="25" t="s">
        <v>847</v>
      </c>
      <c r="G30" s="25" t="s">
        <v>848</v>
      </c>
      <c r="H30" s="25"/>
      <c r="I30" s="25" t="s">
        <v>849</v>
      </c>
    </row>
    <row r="31" customFormat="false" ht="15" hidden="false" customHeight="false" outlineLevel="0" collapsed="false">
      <c r="A31" s="26" t="s">
        <v>974</v>
      </c>
      <c r="B31" s="26" t="s">
        <v>975</v>
      </c>
      <c r="C31" s="26" t="s">
        <v>912</v>
      </c>
      <c r="D31" s="26" t="s">
        <v>845</v>
      </c>
      <c r="E31" s="26" t="s">
        <v>246</v>
      </c>
      <c r="F31" s="26" t="s">
        <v>847</v>
      </c>
      <c r="G31" s="26" t="s">
        <v>848</v>
      </c>
      <c r="H31" s="26"/>
      <c r="I31" s="26" t="s">
        <v>849</v>
      </c>
    </row>
    <row r="32" customFormat="false" ht="15" hidden="false" customHeight="false" outlineLevel="0" collapsed="false">
      <c r="A32" s="25" t="s">
        <v>976</v>
      </c>
      <c r="B32" s="25" t="s">
        <v>977</v>
      </c>
      <c r="C32" s="25" t="s">
        <v>863</v>
      </c>
      <c r="D32" s="25" t="s">
        <v>845</v>
      </c>
      <c r="E32" s="25" t="s">
        <v>246</v>
      </c>
      <c r="F32" s="25"/>
      <c r="G32" s="25"/>
      <c r="H32" s="25"/>
      <c r="I32" s="25"/>
    </row>
    <row r="33" customFormat="false" ht="15" hidden="false" customHeight="false" outlineLevel="0" collapsed="false">
      <c r="A33" s="26" t="s">
        <v>978</v>
      </c>
      <c r="B33" s="26" t="s">
        <v>979</v>
      </c>
      <c r="C33" s="26" t="s">
        <v>980</v>
      </c>
      <c r="D33" s="26" t="s">
        <v>845</v>
      </c>
      <c r="E33" s="26" t="s">
        <v>246</v>
      </c>
      <c r="F33" s="26" t="s">
        <v>847</v>
      </c>
      <c r="G33" s="26" t="s">
        <v>848</v>
      </c>
      <c r="H33" s="26"/>
      <c r="I33" s="26" t="s">
        <v>849</v>
      </c>
    </row>
    <row r="34" customFormat="false" ht="15" hidden="false" customHeight="false" outlineLevel="0" collapsed="false">
      <c r="A34" s="25" t="s">
        <v>981</v>
      </c>
      <c r="B34" s="25" t="s">
        <v>982</v>
      </c>
      <c r="C34" s="25" t="s">
        <v>983</v>
      </c>
      <c r="D34" s="25" t="s">
        <v>919</v>
      </c>
      <c r="E34" s="25" t="s">
        <v>246</v>
      </c>
      <c r="F34" s="25" t="s">
        <v>984</v>
      </c>
      <c r="G34" s="25" t="s">
        <v>985</v>
      </c>
      <c r="H34" s="25"/>
      <c r="I34" s="25" t="s">
        <v>705</v>
      </c>
    </row>
    <row r="35" customFormat="false" ht="15" hidden="false" customHeight="false" outlineLevel="0" collapsed="false">
      <c r="A35" s="26" t="s">
        <v>986</v>
      </c>
      <c r="B35" s="26" t="s">
        <v>987</v>
      </c>
      <c r="C35" s="26" t="s">
        <v>988</v>
      </c>
      <c r="D35" s="26" t="s">
        <v>867</v>
      </c>
      <c r="E35" s="26" t="s">
        <v>246</v>
      </c>
      <c r="F35" s="26" t="s">
        <v>989</v>
      </c>
      <c r="G35" s="26" t="s">
        <v>990</v>
      </c>
      <c r="H35" s="26" t="s">
        <v>991</v>
      </c>
      <c r="I35" s="26" t="s">
        <v>992</v>
      </c>
    </row>
    <row r="36" customFormat="false" ht="15" hidden="false" customHeight="false" outlineLevel="0" collapsed="false">
      <c r="A36" s="25" t="s">
        <v>993</v>
      </c>
      <c r="B36" s="25" t="s">
        <v>994</v>
      </c>
      <c r="C36" s="25" t="s">
        <v>995</v>
      </c>
      <c r="D36" s="25" t="s">
        <v>867</v>
      </c>
      <c r="E36" s="25" t="s">
        <v>246</v>
      </c>
      <c r="F36" s="25" t="s">
        <v>879</v>
      </c>
      <c r="G36" s="25" t="s">
        <v>880</v>
      </c>
      <c r="H36" s="25" t="s">
        <v>996</v>
      </c>
      <c r="I36" s="25" t="s">
        <v>997</v>
      </c>
    </row>
  </sheetData>
  <autoFilter ref="A1:I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2026-08-18T13:27:14Z</dcterms:created>
  <dc:creator>openpyxl</dc:creator>
  <dc:description/>
  <dc:language>en-US</dc:language>
  <cp:lastModifiedBy/>
  <dcterms:modified xsi:type="dcterms:W3CDTF">2026-08-18T13:27:14Z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